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7664BA-9FC2-4739-B19D-F56A5CE2E20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AW " sheetId="1" r:id="rId1"/>
    <sheet name="AHP PAIRWISE" sheetId="2" r:id="rId2"/>
    <sheet name="NORMALIZATION " sheetId="3" r:id="rId3"/>
    <sheet name="EIGENVECTOR" sheetId="4" r:id="rId4"/>
    <sheet name="CONSISTENCY CHECK" sheetId="5" r:id="rId5"/>
    <sheet name="DECISION MATRIX" sheetId="6" r:id="rId6"/>
    <sheet name="NORMALIZED DECISION MATRIX" sheetId="7" r:id="rId7"/>
    <sheet name="WEIGHTED NORMALISED MATRIX" sheetId="8" r:id="rId8"/>
    <sheet name="IDEAL SOLUTION" sheetId="9" r:id="rId9"/>
    <sheet name="SEPERATIONMEASURES " sheetId="10" r:id="rId10"/>
    <sheet name="RELATIVE CLOSENESS" sheetId="11" r:id="rId11"/>
    <sheet name="CHATBOT_INPUT" sheetId="12" r:id="rId12"/>
    <sheet name="CHATBOT_OUTPUT" sheetId="13" r:id="rId13"/>
    <sheet name="MODEL NOTES" sheetId="14" r:id="rId1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0" l="1"/>
  <c r="E21" i="10"/>
  <c r="G21" i="10" s="1"/>
  <c r="D21" i="10"/>
  <c r="L21" i="10" s="1"/>
  <c r="C21" i="10"/>
  <c r="K21" i="10" s="1"/>
  <c r="B21" i="10"/>
  <c r="J21" i="10" s="1"/>
  <c r="F17" i="10"/>
  <c r="E17" i="10"/>
  <c r="D17" i="10"/>
  <c r="C17" i="10"/>
  <c r="B17" i="10"/>
  <c r="J17" i="10" s="1"/>
  <c r="F12" i="10"/>
  <c r="E12" i="10"/>
  <c r="D12" i="10"/>
  <c r="C12" i="10"/>
  <c r="B12" i="10"/>
  <c r="J12" i="10" s="1"/>
  <c r="F8" i="10"/>
  <c r="K8" i="10" s="1"/>
  <c r="E8" i="10"/>
  <c r="D8" i="10"/>
  <c r="I8" i="10" s="1"/>
  <c r="C8" i="10"/>
  <c r="H8" i="10" s="1"/>
  <c r="B8" i="10"/>
  <c r="G8" i="10" s="1"/>
  <c r="D7" i="7"/>
  <c r="D3" i="7"/>
  <c r="E19" i="6"/>
  <c r="D19" i="6"/>
  <c r="D19" i="7" s="1"/>
  <c r="C19" i="6"/>
  <c r="C19" i="7" s="1"/>
  <c r="B19" i="6"/>
  <c r="B19" i="7" s="1"/>
  <c r="E18" i="6"/>
  <c r="D18" i="6"/>
  <c r="D18" i="7" s="1"/>
  <c r="C18" i="6"/>
  <c r="C18" i="7" s="1"/>
  <c r="B18" i="6"/>
  <c r="B18" i="7" s="1"/>
  <c r="E17" i="6"/>
  <c r="D17" i="6"/>
  <c r="D17" i="7" s="1"/>
  <c r="C17" i="6"/>
  <c r="C17" i="7" s="1"/>
  <c r="B17" i="6"/>
  <c r="B17" i="7" s="1"/>
  <c r="E16" i="6"/>
  <c r="D16" i="6"/>
  <c r="D16" i="7" s="1"/>
  <c r="C16" i="6"/>
  <c r="C16" i="7" s="1"/>
  <c r="B16" i="6"/>
  <c r="B16" i="7" s="1"/>
  <c r="E15" i="6"/>
  <c r="D15" i="6"/>
  <c r="D15" i="7" s="1"/>
  <c r="C15" i="6"/>
  <c r="C15" i="7" s="1"/>
  <c r="B15" i="6"/>
  <c r="B15" i="7" s="1"/>
  <c r="E14" i="6"/>
  <c r="D14" i="6"/>
  <c r="D14" i="7" s="1"/>
  <c r="C14" i="6"/>
  <c r="C14" i="7" s="1"/>
  <c r="B14" i="6"/>
  <c r="B14" i="7" s="1"/>
  <c r="E13" i="6"/>
  <c r="D13" i="6"/>
  <c r="D13" i="7" s="1"/>
  <c r="C13" i="6"/>
  <c r="C13" i="7" s="1"/>
  <c r="B13" i="6"/>
  <c r="B13" i="7" s="1"/>
  <c r="E12" i="6"/>
  <c r="D12" i="6"/>
  <c r="D12" i="7" s="1"/>
  <c r="C12" i="6"/>
  <c r="C12" i="7" s="1"/>
  <c r="B12" i="6"/>
  <c r="B12" i="7" s="1"/>
  <c r="E11" i="6"/>
  <c r="D11" i="6"/>
  <c r="D11" i="7" s="1"/>
  <c r="C11" i="6"/>
  <c r="C11" i="7" s="1"/>
  <c r="B11" i="6"/>
  <c r="B11" i="7" s="1"/>
  <c r="E10" i="6"/>
  <c r="D10" i="6"/>
  <c r="D10" i="7" s="1"/>
  <c r="C10" i="6"/>
  <c r="C10" i="7" s="1"/>
  <c r="B10" i="6"/>
  <c r="B10" i="7" s="1"/>
  <c r="E9" i="6"/>
  <c r="D9" i="6"/>
  <c r="D9" i="7" s="1"/>
  <c r="C9" i="6"/>
  <c r="C9" i="7" s="1"/>
  <c r="B9" i="6"/>
  <c r="B9" i="7" s="1"/>
  <c r="E8" i="6"/>
  <c r="D8" i="6"/>
  <c r="D8" i="7" s="1"/>
  <c r="C8" i="6"/>
  <c r="C8" i="7" s="1"/>
  <c r="B8" i="6"/>
  <c r="B8" i="7" s="1"/>
  <c r="E7" i="6"/>
  <c r="D7" i="6"/>
  <c r="C7" i="6"/>
  <c r="C7" i="7" s="1"/>
  <c r="B7" i="6"/>
  <c r="B7" i="7" s="1"/>
  <c r="E6" i="6"/>
  <c r="D6" i="6"/>
  <c r="D6" i="7" s="1"/>
  <c r="C6" i="6"/>
  <c r="C6" i="7" s="1"/>
  <c r="B6" i="6"/>
  <c r="B6" i="7" s="1"/>
  <c r="E5" i="6"/>
  <c r="D5" i="6"/>
  <c r="D5" i="7" s="1"/>
  <c r="C5" i="6"/>
  <c r="C5" i="7" s="1"/>
  <c r="B5" i="6"/>
  <c r="B5" i="7" s="1"/>
  <c r="E4" i="6"/>
  <c r="D4" i="6"/>
  <c r="D4" i="7" s="1"/>
  <c r="C4" i="6"/>
  <c r="C4" i="7" s="1"/>
  <c r="B4" i="6"/>
  <c r="B4" i="7" s="1"/>
  <c r="E3" i="6"/>
  <c r="D3" i="6"/>
  <c r="C3" i="6"/>
  <c r="C3" i="7" s="1"/>
  <c r="B3" i="6"/>
  <c r="B3" i="7" s="1"/>
  <c r="E2" i="6"/>
  <c r="D2" i="6"/>
  <c r="D2" i="7" s="1"/>
  <c r="C2" i="6"/>
  <c r="C2" i="7" s="1"/>
  <c r="B2" i="6"/>
  <c r="B2" i="7" s="1"/>
  <c r="E6" i="5"/>
  <c r="D6" i="5"/>
  <c r="C6" i="5"/>
  <c r="B6" i="5"/>
  <c r="F5" i="5"/>
  <c r="D5" i="5"/>
  <c r="C5" i="5"/>
  <c r="B5" i="5"/>
  <c r="F4" i="5"/>
  <c r="E4" i="5"/>
  <c r="C4" i="5"/>
  <c r="B4" i="5"/>
  <c r="F3" i="5"/>
  <c r="E3" i="5"/>
  <c r="D3" i="5"/>
  <c r="B3" i="5"/>
  <c r="F2" i="5"/>
  <c r="E2" i="5"/>
  <c r="D2" i="5"/>
  <c r="C2" i="5"/>
  <c r="E6" i="3"/>
  <c r="D6" i="3"/>
  <c r="C6" i="3"/>
  <c r="B6" i="3"/>
  <c r="F5" i="3"/>
  <c r="D5" i="3"/>
  <c r="C5" i="3"/>
  <c r="B5" i="3"/>
  <c r="F4" i="3"/>
  <c r="E4" i="3"/>
  <c r="C4" i="3"/>
  <c r="B4" i="3"/>
  <c r="F3" i="3"/>
  <c r="E3" i="3"/>
  <c r="D3" i="3"/>
  <c r="B3" i="3"/>
  <c r="B7" i="3" s="1"/>
  <c r="F2" i="3"/>
  <c r="F7" i="3" s="1"/>
  <c r="F13" i="3" s="1"/>
  <c r="F4" i="4" s="1"/>
  <c r="E2" i="3"/>
  <c r="D2" i="3"/>
  <c r="C2" i="3"/>
  <c r="C7" i="3" l="1"/>
  <c r="C13" i="3" s="1"/>
  <c r="C4" i="4" s="1"/>
  <c r="C16" i="3"/>
  <c r="C7" i="4" s="1"/>
  <c r="I12" i="10"/>
  <c r="J8" i="10"/>
  <c r="L17" i="10"/>
  <c r="K17" i="10"/>
  <c r="H17" i="10"/>
  <c r="B13" i="3"/>
  <c r="B4" i="4" s="1"/>
  <c r="G12" i="10"/>
  <c r="G17" i="10"/>
  <c r="H21" i="10"/>
  <c r="E12" i="7"/>
  <c r="G12" i="7" s="1"/>
  <c r="D14" i="8" s="1"/>
  <c r="G14" i="8" s="1"/>
  <c r="C14" i="9" s="1"/>
  <c r="C15" i="10" s="1"/>
  <c r="F14" i="3"/>
  <c r="F5" i="4" s="1"/>
  <c r="E8" i="7"/>
  <c r="H8" i="7" s="1"/>
  <c r="E9" i="8" s="1"/>
  <c r="H9" i="8" s="1"/>
  <c r="D9" i="9" s="1"/>
  <c r="D10" i="10" s="1"/>
  <c r="E13" i="7"/>
  <c r="F13" i="7" s="1"/>
  <c r="C15" i="8" s="1"/>
  <c r="F15" i="8" s="1"/>
  <c r="B15" i="9" s="1"/>
  <c r="E7" i="3"/>
  <c r="E15" i="3" s="1"/>
  <c r="E6" i="4" s="1"/>
  <c r="E17" i="7"/>
  <c r="H17" i="7" s="1"/>
  <c r="E21" i="8" s="1"/>
  <c r="H21" i="8" s="1"/>
  <c r="D21" i="9" s="1"/>
  <c r="D22" i="10" s="1"/>
  <c r="F16" i="3"/>
  <c r="F7" i="4" s="1"/>
  <c r="F12" i="3"/>
  <c r="F3" i="4" s="1"/>
  <c r="F15" i="3"/>
  <c r="F6" i="4" s="1"/>
  <c r="B16" i="3"/>
  <c r="B7" i="4" s="1"/>
  <c r="B12" i="3"/>
  <c r="B3" i="4" s="1"/>
  <c r="B14" i="3"/>
  <c r="B5" i="4" s="1"/>
  <c r="B15" i="3"/>
  <c r="B6" i="4" s="1"/>
  <c r="D7" i="3"/>
  <c r="D14" i="3" s="1"/>
  <c r="D5" i="4" s="1"/>
  <c r="E3" i="7"/>
  <c r="F3" i="7" s="1"/>
  <c r="C3" i="8" s="1"/>
  <c r="F3" i="8" s="1"/>
  <c r="B3" i="9" s="1"/>
  <c r="E6" i="7"/>
  <c r="H6" i="7" s="1"/>
  <c r="E6" i="8" s="1"/>
  <c r="H6" i="8" s="1"/>
  <c r="D6" i="9" s="1"/>
  <c r="D7" i="10" s="1"/>
  <c r="E7" i="7"/>
  <c r="H7" i="7" s="1"/>
  <c r="E8" i="8" s="1"/>
  <c r="H8" i="8" s="1"/>
  <c r="D8" i="9" s="1"/>
  <c r="D9" i="10" s="1"/>
  <c r="F10" i="7"/>
  <c r="C12" i="8" s="1"/>
  <c r="F12" i="8" s="1"/>
  <c r="B12" i="9" s="1"/>
  <c r="E10" i="7"/>
  <c r="G10" i="7" s="1"/>
  <c r="D12" i="8" s="1"/>
  <c r="G12" i="8" s="1"/>
  <c r="C12" i="9" s="1"/>
  <c r="C13" i="10" s="1"/>
  <c r="E11" i="7"/>
  <c r="H11" i="7" s="1"/>
  <c r="E13" i="8" s="1"/>
  <c r="H13" i="8" s="1"/>
  <c r="D13" i="9" s="1"/>
  <c r="D14" i="10" s="1"/>
  <c r="F12" i="7"/>
  <c r="C14" i="8" s="1"/>
  <c r="F14" i="8" s="1"/>
  <c r="B14" i="9" s="1"/>
  <c r="E14" i="7"/>
  <c r="F14" i="7" s="1"/>
  <c r="C17" i="8" s="1"/>
  <c r="F17" i="8" s="1"/>
  <c r="B17" i="9" s="1"/>
  <c r="E15" i="7"/>
  <c r="G15" i="7" s="1"/>
  <c r="D18" i="8" s="1"/>
  <c r="G18" i="8" s="1"/>
  <c r="C18" i="9" s="1"/>
  <c r="C19" i="10" s="1"/>
  <c r="E18" i="7"/>
  <c r="G18" i="7" s="1"/>
  <c r="D22" i="8" s="1"/>
  <c r="G22" i="8" s="1"/>
  <c r="C22" i="9" s="1"/>
  <c r="C23" i="10" s="1"/>
  <c r="E19" i="7"/>
  <c r="H19" i="7" s="1"/>
  <c r="E23" i="8" s="1"/>
  <c r="H23" i="8" s="1"/>
  <c r="D23" i="9" s="1"/>
  <c r="D24" i="10" s="1"/>
  <c r="E4" i="7"/>
  <c r="G4" i="7" s="1"/>
  <c r="D4" i="8" s="1"/>
  <c r="G4" i="8" s="1"/>
  <c r="C4" i="9" s="1"/>
  <c r="C5" i="10" s="1"/>
  <c r="E9" i="7"/>
  <c r="H9" i="7" s="1"/>
  <c r="E10" i="8" s="1"/>
  <c r="H10" i="8" s="1"/>
  <c r="D10" i="9" s="1"/>
  <c r="D11" i="10" s="1"/>
  <c r="H13" i="7"/>
  <c r="E15" i="8" s="1"/>
  <c r="H15" i="8" s="1"/>
  <c r="D15" i="9" s="1"/>
  <c r="D16" i="10" s="1"/>
  <c r="D12" i="3"/>
  <c r="D3" i="4" s="1"/>
  <c r="D13" i="3"/>
  <c r="D4" i="4" s="1"/>
  <c r="C12" i="3"/>
  <c r="C3" i="4" s="1"/>
  <c r="G7" i="7"/>
  <c r="D8" i="8" s="1"/>
  <c r="G8" i="8" s="1"/>
  <c r="C8" i="9" s="1"/>
  <c r="C9" i="10" s="1"/>
  <c r="G11" i="7"/>
  <c r="D13" i="8" s="1"/>
  <c r="G13" i="8" s="1"/>
  <c r="C13" i="9" s="1"/>
  <c r="C14" i="10" s="1"/>
  <c r="G17" i="7"/>
  <c r="D21" i="8" s="1"/>
  <c r="G21" i="8" s="1"/>
  <c r="C21" i="9" s="1"/>
  <c r="C22" i="10" s="1"/>
  <c r="E5" i="7"/>
  <c r="F5" i="7" s="1"/>
  <c r="C5" i="8" s="1"/>
  <c r="F5" i="8" s="1"/>
  <c r="B5" i="9" s="1"/>
  <c r="E16" i="7"/>
  <c r="F16" i="7" s="1"/>
  <c r="C19" i="8" s="1"/>
  <c r="F19" i="8" s="1"/>
  <c r="B19" i="9" s="1"/>
  <c r="I17" i="10"/>
  <c r="C14" i="3"/>
  <c r="C5" i="4" s="1"/>
  <c r="K12" i="10"/>
  <c r="H12" i="10"/>
  <c r="I21" i="10"/>
  <c r="L8" i="10"/>
  <c r="L12" i="10"/>
  <c r="G3" i="7" l="1"/>
  <c r="D3" i="8" s="1"/>
  <c r="G3" i="8" s="1"/>
  <c r="C3" i="9" s="1"/>
  <c r="C4" i="10" s="1"/>
  <c r="F8" i="7"/>
  <c r="C9" i="8" s="1"/>
  <c r="F9" i="8" s="1"/>
  <c r="B9" i="9" s="1"/>
  <c r="B10" i="10" s="1"/>
  <c r="G8" i="7"/>
  <c r="D9" i="8" s="1"/>
  <c r="G9" i="8" s="1"/>
  <c r="C9" i="9" s="1"/>
  <c r="C10" i="10" s="1"/>
  <c r="C15" i="3"/>
  <c r="C6" i="4" s="1"/>
  <c r="E2" i="7"/>
  <c r="G2" i="7" s="1"/>
  <c r="D2" i="8" s="1"/>
  <c r="G2" i="8" s="1"/>
  <c r="C2" i="9" s="1"/>
  <c r="C3" i="10" s="1"/>
  <c r="H12" i="7"/>
  <c r="E14" i="8" s="1"/>
  <c r="H14" i="8" s="1"/>
  <c r="D14" i="9" s="1"/>
  <c r="D15" i="10" s="1"/>
  <c r="G13" i="7"/>
  <c r="D15" i="8" s="1"/>
  <c r="G15" i="8" s="1"/>
  <c r="C15" i="9" s="1"/>
  <c r="C16" i="10" s="1"/>
  <c r="K16" i="10" s="1"/>
  <c r="H5" i="7"/>
  <c r="E5" i="8" s="1"/>
  <c r="H5" i="8" s="1"/>
  <c r="D5" i="9" s="1"/>
  <c r="D6" i="10" s="1"/>
  <c r="F11" i="7"/>
  <c r="C13" i="8" s="1"/>
  <c r="F13" i="8" s="1"/>
  <c r="B13" i="9" s="1"/>
  <c r="E13" i="9" s="1"/>
  <c r="E14" i="10" s="1"/>
  <c r="G16" i="7"/>
  <c r="D19" i="8" s="1"/>
  <c r="G19" i="8" s="1"/>
  <c r="C19" i="9" s="1"/>
  <c r="C20" i="10" s="1"/>
  <c r="F18" i="7"/>
  <c r="C22" i="8" s="1"/>
  <c r="F22" i="8" s="1"/>
  <c r="B22" i="9" s="1"/>
  <c r="F22" i="9" s="1"/>
  <c r="F23" i="10" s="1"/>
  <c r="K23" i="10" s="1"/>
  <c r="G19" i="7"/>
  <c r="D23" i="8" s="1"/>
  <c r="G23" i="8" s="1"/>
  <c r="C23" i="9" s="1"/>
  <c r="C24" i="10" s="1"/>
  <c r="G5" i="7"/>
  <c r="D5" i="8" s="1"/>
  <c r="G5" i="8" s="1"/>
  <c r="C5" i="9" s="1"/>
  <c r="C6" i="10" s="1"/>
  <c r="F19" i="7"/>
  <c r="C23" i="8" s="1"/>
  <c r="F23" i="8" s="1"/>
  <c r="B23" i="9" s="1"/>
  <c r="H18" i="7"/>
  <c r="E22" i="8" s="1"/>
  <c r="H22" i="8" s="1"/>
  <c r="D22" i="9" s="1"/>
  <c r="D23" i="10" s="1"/>
  <c r="G14" i="7"/>
  <c r="D17" i="8" s="1"/>
  <c r="G17" i="8" s="1"/>
  <c r="C17" i="9" s="1"/>
  <c r="C18" i="10" s="1"/>
  <c r="B4" i="10"/>
  <c r="B20" i="10"/>
  <c r="B18" i="10"/>
  <c r="B15" i="10"/>
  <c r="F6" i="7"/>
  <c r="C6" i="8" s="1"/>
  <c r="F6" i="8" s="1"/>
  <c r="B6" i="9" s="1"/>
  <c r="E13" i="3"/>
  <c r="E4" i="4" s="1"/>
  <c r="B14" i="4" s="1"/>
  <c r="H15" i="7"/>
  <c r="E18" i="8" s="1"/>
  <c r="H18" i="8" s="1"/>
  <c r="D18" i="9" s="1"/>
  <c r="D19" i="10" s="1"/>
  <c r="H16" i="7"/>
  <c r="E19" i="8" s="1"/>
  <c r="H19" i="8" s="1"/>
  <c r="D19" i="9" s="1"/>
  <c r="D20" i="10" s="1"/>
  <c r="G6" i="7"/>
  <c r="D6" i="8" s="1"/>
  <c r="G6" i="8" s="1"/>
  <c r="C6" i="9" s="1"/>
  <c r="C7" i="10" s="1"/>
  <c r="F15" i="7"/>
  <c r="C18" i="8" s="1"/>
  <c r="F18" i="8" s="1"/>
  <c r="B18" i="9" s="1"/>
  <c r="F9" i="9"/>
  <c r="F10" i="10" s="1"/>
  <c r="K10" i="10" s="1"/>
  <c r="E9" i="9"/>
  <c r="E10" i="10" s="1"/>
  <c r="H10" i="10" s="1"/>
  <c r="F4" i="7"/>
  <c r="C4" i="8" s="1"/>
  <c r="F4" i="8" s="1"/>
  <c r="B4" i="9" s="1"/>
  <c r="F2" i="7"/>
  <c r="C2" i="8" s="1"/>
  <c r="F2" i="8" s="1"/>
  <c r="B2" i="9" s="1"/>
  <c r="H14" i="7"/>
  <c r="E17" i="8" s="1"/>
  <c r="H17" i="8" s="1"/>
  <c r="D17" i="9" s="1"/>
  <c r="D18" i="10" s="1"/>
  <c r="E12" i="3"/>
  <c r="E3" i="4" s="1"/>
  <c r="B13" i="4" s="1"/>
  <c r="F17" i="7"/>
  <c r="C21" i="8" s="1"/>
  <c r="F21" i="8" s="1"/>
  <c r="B21" i="9" s="1"/>
  <c r="H3" i="7"/>
  <c r="E3" i="8" s="1"/>
  <c r="H3" i="8" s="1"/>
  <c r="D3" i="9" s="1"/>
  <c r="D4" i="10" s="1"/>
  <c r="B13" i="10"/>
  <c r="F9" i="7"/>
  <c r="C10" i="8" s="1"/>
  <c r="F10" i="8" s="1"/>
  <c r="B10" i="9" s="1"/>
  <c r="E22" i="9"/>
  <c r="E23" i="10" s="1"/>
  <c r="H23" i="10" s="1"/>
  <c r="B23" i="10"/>
  <c r="B14" i="10"/>
  <c r="F13" i="9"/>
  <c r="F14" i="10" s="1"/>
  <c r="L14" i="10" s="1"/>
  <c r="H10" i="7"/>
  <c r="E12" i="8" s="1"/>
  <c r="H12" i="8" s="1"/>
  <c r="D12" i="9" s="1"/>
  <c r="D13" i="10" s="1"/>
  <c r="H4" i="7"/>
  <c r="E4" i="8" s="1"/>
  <c r="H4" i="8" s="1"/>
  <c r="D4" i="9" s="1"/>
  <c r="D5" i="10" s="1"/>
  <c r="D15" i="3"/>
  <c r="D6" i="4" s="1"/>
  <c r="B6" i="10"/>
  <c r="E5" i="9"/>
  <c r="E6" i="10" s="1"/>
  <c r="I6" i="10" s="1"/>
  <c r="G9" i="7"/>
  <c r="D10" i="8" s="1"/>
  <c r="G10" i="8" s="1"/>
  <c r="C10" i="9" s="1"/>
  <c r="C11" i="10" s="1"/>
  <c r="B16" i="10"/>
  <c r="F15" i="9"/>
  <c r="F16" i="10" s="1"/>
  <c r="L16" i="10" s="1"/>
  <c r="E15" i="9"/>
  <c r="E16" i="10" s="1"/>
  <c r="I16" i="10" s="1"/>
  <c r="F7" i="7"/>
  <c r="C8" i="8" s="1"/>
  <c r="F8" i="8" s="1"/>
  <c r="B8" i="9" s="1"/>
  <c r="E16" i="3"/>
  <c r="E7" i="4" s="1"/>
  <c r="D16" i="3"/>
  <c r="D7" i="4" s="1"/>
  <c r="B17" i="4" s="1"/>
  <c r="E14" i="3"/>
  <c r="E5" i="4" s="1"/>
  <c r="B15" i="4" s="1"/>
  <c r="E14" i="9" l="1"/>
  <c r="E15" i="10" s="1"/>
  <c r="H15" i="10" s="1"/>
  <c r="E23" i="9"/>
  <c r="E24" i="10" s="1"/>
  <c r="I24" i="10" s="1"/>
  <c r="B16" i="4"/>
  <c r="B18" i="4" s="1"/>
  <c r="F23" i="9"/>
  <c r="F24" i="10" s="1"/>
  <c r="K24" i="10" s="1"/>
  <c r="H2" i="7"/>
  <c r="E2" i="8" s="1"/>
  <c r="H2" i="8" s="1"/>
  <c r="D2" i="9" s="1"/>
  <c r="D3" i="10" s="1"/>
  <c r="F14" i="9"/>
  <c r="F15" i="10" s="1"/>
  <c r="H6" i="10"/>
  <c r="I14" i="10"/>
  <c r="H14" i="10"/>
  <c r="L10" i="10"/>
  <c r="B24" i="10"/>
  <c r="F5" i="9"/>
  <c r="F6" i="10" s="1"/>
  <c r="L6" i="10" s="1"/>
  <c r="F19" i="9"/>
  <c r="F20" i="10" s="1"/>
  <c r="K20" i="10" s="1"/>
  <c r="C20" i="13"/>
  <c r="B20" i="13"/>
  <c r="B11" i="5"/>
  <c r="C22" i="13"/>
  <c r="B22" i="13"/>
  <c r="B13" i="5"/>
  <c r="C24" i="13"/>
  <c r="B24" i="13"/>
  <c r="B15" i="5"/>
  <c r="B9" i="10"/>
  <c r="E8" i="9"/>
  <c r="E9" i="10" s="1"/>
  <c r="F8" i="9"/>
  <c r="F9" i="10" s="1"/>
  <c r="B5" i="10"/>
  <c r="F4" i="9"/>
  <c r="F5" i="10" s="1"/>
  <c r="K5" i="10" s="1"/>
  <c r="E4" i="9"/>
  <c r="E5" i="10" s="1"/>
  <c r="H5" i="10" s="1"/>
  <c r="H16" i="10"/>
  <c r="G14" i="10"/>
  <c r="J14" i="10"/>
  <c r="K6" i="10"/>
  <c r="B22" i="10"/>
  <c r="E21" i="9"/>
  <c r="E22" i="10" s="1"/>
  <c r="F21" i="9"/>
  <c r="F22" i="10" s="1"/>
  <c r="F6" i="9"/>
  <c r="F7" i="10" s="1"/>
  <c r="L7" i="10" s="1"/>
  <c r="E6" i="9"/>
  <c r="E7" i="10" s="1"/>
  <c r="I7" i="10" s="1"/>
  <c r="B7" i="10"/>
  <c r="F17" i="9"/>
  <c r="F18" i="10" s="1"/>
  <c r="K18" i="10" s="1"/>
  <c r="E19" i="9"/>
  <c r="E20" i="10" s="1"/>
  <c r="H20" i="10" s="1"/>
  <c r="F3" i="9"/>
  <c r="F4" i="10" s="1"/>
  <c r="K4" i="10" s="1"/>
  <c r="E18" i="9"/>
  <c r="E19" i="10" s="1"/>
  <c r="H19" i="10" s="1"/>
  <c r="B19" i="10"/>
  <c r="F18" i="9"/>
  <c r="F19" i="10" s="1"/>
  <c r="K19" i="10" s="1"/>
  <c r="I15" i="10"/>
  <c r="J18" i="10"/>
  <c r="G6" i="10"/>
  <c r="K14" i="10"/>
  <c r="F10" i="9"/>
  <c r="F11" i="10" s="1"/>
  <c r="L11" i="10" s="1"/>
  <c r="B11" i="10"/>
  <c r="E10" i="9"/>
  <c r="E11" i="10" s="1"/>
  <c r="I11" i="10" s="1"/>
  <c r="E12" i="9"/>
  <c r="E13" i="10" s="1"/>
  <c r="H13" i="10" s="1"/>
  <c r="I10" i="10"/>
  <c r="G10" i="10"/>
  <c r="J10" i="10"/>
  <c r="C21" i="13"/>
  <c r="B21" i="13"/>
  <c r="B12" i="5"/>
  <c r="L23" i="10"/>
  <c r="G15" i="10"/>
  <c r="J20" i="10"/>
  <c r="G20" i="10"/>
  <c r="B14" i="5"/>
  <c r="J16" i="10"/>
  <c r="G16" i="10"/>
  <c r="G23" i="10"/>
  <c r="J23" i="10"/>
  <c r="F12" i="9"/>
  <c r="F13" i="10" s="1"/>
  <c r="K13" i="10" s="1"/>
  <c r="F2" i="9"/>
  <c r="F3" i="10" s="1"/>
  <c r="K3" i="10" s="1"/>
  <c r="E2" i="9"/>
  <c r="E3" i="10" s="1"/>
  <c r="H3" i="10" s="1"/>
  <c r="B3" i="10"/>
  <c r="I20" i="10"/>
  <c r="L20" i="10"/>
  <c r="I23" i="10"/>
  <c r="E17" i="9"/>
  <c r="E18" i="10" s="1"/>
  <c r="H18" i="10" s="1"/>
  <c r="E3" i="9"/>
  <c r="E4" i="10" s="1"/>
  <c r="H4" i="10" s="1"/>
  <c r="J6" i="10" l="1"/>
  <c r="L13" i="10"/>
  <c r="J24" i="10"/>
  <c r="I19" i="10"/>
  <c r="B23" i="13"/>
  <c r="L15" i="10"/>
  <c r="K15" i="10"/>
  <c r="C23" i="13"/>
  <c r="J15" i="10"/>
  <c r="H24" i="10"/>
  <c r="L24" i="10"/>
  <c r="G24" i="10"/>
  <c r="I5" i="10"/>
  <c r="G4" i="10"/>
  <c r="J4" i="10"/>
  <c r="I18" i="10"/>
  <c r="G9" i="10"/>
  <c r="J9" i="10"/>
  <c r="L19" i="10"/>
  <c r="J3" i="10"/>
  <c r="G3" i="10"/>
  <c r="L5" i="10"/>
  <c r="J19" i="10"/>
  <c r="G19" i="10"/>
  <c r="K11" i="10"/>
  <c r="L18" i="10"/>
  <c r="J5" i="10"/>
  <c r="G5" i="10"/>
  <c r="I13" i="10"/>
  <c r="C12" i="5"/>
  <c r="D12" i="5" s="1"/>
  <c r="C13" i="5"/>
  <c r="D13" i="5" s="1"/>
  <c r="C14" i="5"/>
  <c r="D14" i="5" s="1"/>
  <c r="C15" i="5"/>
  <c r="D15" i="5" s="1"/>
  <c r="C11" i="5"/>
  <c r="D11" i="5" s="1"/>
  <c r="G13" i="10"/>
  <c r="G22" i="10"/>
  <c r="J22" i="10"/>
  <c r="I3" i="10"/>
  <c r="J11" i="10"/>
  <c r="G11" i="10"/>
  <c r="G18" i="10"/>
  <c r="H11" i="10"/>
  <c r="K7" i="10"/>
  <c r="L22" i="10"/>
  <c r="K22" i="10"/>
  <c r="L4" i="10"/>
  <c r="L9" i="10"/>
  <c r="K9" i="10"/>
  <c r="L3" i="10"/>
  <c r="J13" i="10"/>
  <c r="J7" i="10"/>
  <c r="G7" i="10"/>
  <c r="H7" i="10"/>
  <c r="I22" i="10"/>
  <c r="H22" i="10"/>
  <c r="I4" i="10"/>
  <c r="I9" i="10"/>
  <c r="H9" i="10"/>
  <c r="C30" i="10" l="1"/>
  <c r="B30" i="10"/>
  <c r="B14" i="13" s="1"/>
  <c r="B3" i="11"/>
  <c r="B15" i="13"/>
  <c r="C3" i="11"/>
  <c r="C13" i="13" s="1"/>
  <c r="B31" i="10"/>
  <c r="C29" i="10"/>
  <c r="C31" i="10"/>
  <c r="B22" i="5"/>
  <c r="B23" i="5" s="1"/>
  <c r="B25" i="5" s="1"/>
  <c r="D16" i="5"/>
  <c r="B29" i="10"/>
  <c r="D30" i="10" l="1"/>
  <c r="B17" i="13"/>
  <c r="C4" i="11"/>
  <c r="C15" i="13" s="1"/>
  <c r="D31" i="10"/>
  <c r="B2" i="11"/>
  <c r="B12" i="13"/>
  <c r="B13" i="13"/>
  <c r="C2" i="11"/>
  <c r="C11" i="13" s="1"/>
  <c r="D29" i="10"/>
  <c r="B16" i="13"/>
  <c r="B4" i="11"/>
  <c r="B3" i="13"/>
  <c r="D3" i="11"/>
  <c r="C18" i="13"/>
  <c r="B18" i="13"/>
  <c r="B26" i="5"/>
  <c r="D2" i="11" l="1"/>
  <c r="B2" i="13"/>
  <c r="E29" i="10"/>
  <c r="D4" i="11"/>
  <c r="B4" i="13"/>
  <c r="E31" i="10"/>
  <c r="B11" i="13" s="1"/>
  <c r="C14" i="13"/>
  <c r="E3" i="11"/>
  <c r="C19" i="13"/>
  <c r="B19" i="13"/>
  <c r="E30" i="10"/>
  <c r="B10" i="13" s="1"/>
  <c r="E4" i="11" l="1"/>
  <c r="C16" i="13"/>
  <c r="B9" i="13"/>
  <c r="B7" i="13"/>
  <c r="B5" i="13"/>
  <c r="B8" i="13"/>
  <c r="B6" i="13"/>
  <c r="F3" i="11"/>
  <c r="C9" i="13" s="1"/>
  <c r="C3" i="13"/>
  <c r="C12" i="13"/>
  <c r="E2" i="11"/>
  <c r="C2" i="13" l="1"/>
  <c r="F2" i="11"/>
  <c r="C5" i="13"/>
  <c r="C4" i="13"/>
  <c r="F4" i="11"/>
  <c r="C10" i="13" s="1"/>
  <c r="C8" i="13" l="1"/>
  <c r="C6" i="13"/>
  <c r="C7" i="13"/>
</calcChain>
</file>

<file path=xl/sharedStrings.xml><?xml version="1.0" encoding="utf-8"?>
<sst xmlns="http://schemas.openxmlformats.org/spreadsheetml/2006/main" count="356" uniqueCount="153">
  <si>
    <t>Comparison</t>
  </si>
  <si>
    <t>Expert 1</t>
  </si>
  <si>
    <t>Expert 2</t>
  </si>
  <si>
    <t>Expert 3</t>
  </si>
  <si>
    <t>Expert 4</t>
  </si>
  <si>
    <t>Expert 5</t>
  </si>
  <si>
    <t>Technical vs Operational</t>
  </si>
  <si>
    <t>Technical vs Environmental</t>
  </si>
  <si>
    <t>Technical vs Financial</t>
  </si>
  <si>
    <t>Technical vs Regulatory</t>
  </si>
  <si>
    <t>Operational vs Environmental</t>
  </si>
  <si>
    <t>Operational vs Financial</t>
  </si>
  <si>
    <t>Operational vs Regulatory</t>
  </si>
  <si>
    <t>Environmental vs Financial</t>
  </si>
  <si>
    <t>Environmental vs Regulatory</t>
  </si>
  <si>
    <t>Financial vs Regulatory</t>
  </si>
  <si>
    <t>Criterion</t>
  </si>
  <si>
    <t>E1-A</t>
  </si>
  <si>
    <t>E1-B</t>
  </si>
  <si>
    <t>E1-C</t>
  </si>
  <si>
    <t>E2-A</t>
  </si>
  <si>
    <t>E2-B</t>
  </si>
  <si>
    <t>E2-C</t>
  </si>
  <si>
    <t>E3-A</t>
  </si>
  <si>
    <t>E3-B</t>
  </si>
  <si>
    <t>E3-C</t>
  </si>
  <si>
    <t>E4-A</t>
  </si>
  <si>
    <t>E4-B</t>
  </si>
  <si>
    <t>E4-C</t>
  </si>
  <si>
    <t>E5-A</t>
  </si>
  <si>
    <t>E5-B</t>
  </si>
  <si>
    <t>E5-C</t>
  </si>
  <si>
    <t xml:space="preserve">Laboratory Facilities </t>
  </si>
  <si>
    <t>Process Equipment</t>
  </si>
  <si>
    <t>Engineering Software</t>
  </si>
  <si>
    <t>Technical Manpower</t>
  </si>
  <si>
    <t>Process Optimization Capability</t>
  </si>
  <si>
    <t>Infrastructure Availability</t>
  </si>
  <si>
    <t>Maintenance systems</t>
  </si>
  <si>
    <t>Industrial Utilities</t>
  </si>
  <si>
    <t>Environmental Compliance</t>
  </si>
  <si>
    <t>Waste Management Capability</t>
  </si>
  <si>
    <t>HAZOP/HAZID Capability</t>
  </si>
  <si>
    <t>Safety Management Systems</t>
  </si>
  <si>
    <t>Equipment Cost</t>
  </si>
  <si>
    <t>Setup Cost</t>
  </si>
  <si>
    <t>Maintenance Cost</t>
  </si>
  <si>
    <t>NUPRC Compliance</t>
  </si>
  <si>
    <t>Laboratory Certification</t>
  </si>
  <si>
    <t>Environmental Permits</t>
  </si>
  <si>
    <t>Technical</t>
  </si>
  <si>
    <t>Operational</t>
  </si>
  <si>
    <t>Environmental</t>
  </si>
  <si>
    <t>Financial</t>
  </si>
  <si>
    <t>Regulatory</t>
  </si>
  <si>
    <t xml:space="preserve">Financial </t>
  </si>
  <si>
    <t>TOTAL</t>
  </si>
  <si>
    <t>NORMALIZED COLUMN</t>
  </si>
  <si>
    <t xml:space="preserve"> NORMALIZED COLUMN</t>
  </si>
  <si>
    <t>TECHNICAL</t>
  </si>
  <si>
    <t>OPERATIONAL</t>
  </si>
  <si>
    <t>ENVIRONMENTAL</t>
  </si>
  <si>
    <t>FINANCIAL</t>
  </si>
  <si>
    <t>REGULATORY</t>
  </si>
  <si>
    <t>CRITERION</t>
  </si>
  <si>
    <t>PRIORITY WEIGHT(EIGENVECTOR)</t>
  </si>
  <si>
    <t>PRIORITY WEIGHT</t>
  </si>
  <si>
    <t>WEIGHT</t>
  </si>
  <si>
    <t>WEIGHTED SUM</t>
  </si>
  <si>
    <t>LAMBDA</t>
  </si>
  <si>
    <t>CONSISTENCY CHECK</t>
  </si>
  <si>
    <t>VALUE</t>
  </si>
  <si>
    <t>Number Of Criteria (n)</t>
  </si>
  <si>
    <t>Lambda max</t>
  </si>
  <si>
    <t>Consistency Index (CI)</t>
  </si>
  <si>
    <t>random Index (RI)</t>
  </si>
  <si>
    <t>Consistency Ratio (CR)</t>
  </si>
  <si>
    <t>Decision</t>
  </si>
  <si>
    <t>ALTERNATIVE A</t>
  </si>
  <si>
    <t>ALTERNATIVE B</t>
  </si>
  <si>
    <t>ALTERNATIVE C</t>
  </si>
  <si>
    <t>DENOMINATOR</t>
  </si>
  <si>
    <t>NORMALIZED A</t>
  </si>
  <si>
    <t>NORMALIZED B</t>
  </si>
  <si>
    <t>NORMALIZED C</t>
  </si>
  <si>
    <t>AHP WEIGHT</t>
  </si>
  <si>
    <t>NORMALISED A</t>
  </si>
  <si>
    <t xml:space="preserve"> NORMALISED B</t>
  </si>
  <si>
    <t>NORMALISED C</t>
  </si>
  <si>
    <t>WEIGHTED A</t>
  </si>
  <si>
    <t>WEIGHTED B</t>
  </si>
  <si>
    <t>WEIGHTED C</t>
  </si>
  <si>
    <t>POSTIVE IDEAL (A+)</t>
  </si>
  <si>
    <t>NEGATIVE IDEAL (A-)</t>
  </si>
  <si>
    <t>S+ (DISTANCE TO POSITIVE IDEAL)</t>
  </si>
  <si>
    <t>S- (DISTANCE TO NEGATIVE IDEAL)</t>
  </si>
  <si>
    <t>(WA - A+)^2</t>
  </si>
  <si>
    <t>(WB - A+)^2</t>
  </si>
  <si>
    <t>(WC - A+)^2</t>
  </si>
  <si>
    <t>(WA - A-)^2</t>
  </si>
  <si>
    <t>(WB - B-)^2</t>
  </si>
  <si>
    <t>(WC - C-)^2</t>
  </si>
  <si>
    <t>ALTERNATIVE</t>
  </si>
  <si>
    <t>S+</t>
  </si>
  <si>
    <t>S-</t>
  </si>
  <si>
    <t>RELATIVE CLOSENESS (Ci*)</t>
  </si>
  <si>
    <t>RANK</t>
  </si>
  <si>
    <t xml:space="preserve">ALTERNATIVE </t>
  </si>
  <si>
    <t xml:space="preserve">ALTERNATIVE C </t>
  </si>
  <si>
    <t>Type</t>
  </si>
  <si>
    <t>CHATBOT INPUT</t>
  </si>
  <si>
    <t>benefit</t>
  </si>
  <si>
    <t>Node.js writes scores into C2:E19.</t>
  </si>
  <si>
    <t>Scores: 1-10.</t>
  </si>
  <si>
    <t>AHP expert weights remain unchanged in the existing workbook.</t>
  </si>
  <si>
    <t>cost</t>
  </si>
  <si>
    <t>Result</t>
  </si>
  <si>
    <t>Value</t>
  </si>
  <si>
    <t>Node.js reads CHATBOT_OUTPUT after Excel recalculates.</t>
  </si>
  <si>
    <t>Alternative A Ci*</t>
  </si>
  <si>
    <t>Alternative B Ci*</t>
  </si>
  <si>
    <t>Alternative C Ci*</t>
  </si>
  <si>
    <t>Best Alternative</t>
  </si>
  <si>
    <t>Rank 1</t>
  </si>
  <si>
    <t>Rank 2</t>
  </si>
  <si>
    <t>Rank 3</t>
  </si>
  <si>
    <t>Alternative A Rank</t>
  </si>
  <si>
    <t>Alternative B Rank</t>
  </si>
  <si>
    <t>Alternative C Rank</t>
  </si>
  <si>
    <t>Alternative A S+</t>
  </si>
  <si>
    <t>Alternative A S-</t>
  </si>
  <si>
    <t>Alternative B S+</t>
  </si>
  <si>
    <t>Alternative B S-</t>
  </si>
  <si>
    <t>Alternative C S+</t>
  </si>
  <si>
    <t>Alternative C S-</t>
  </si>
  <si>
    <t>Consistency Ratio</t>
  </si>
  <si>
    <t>Consistency Status</t>
  </si>
  <si>
    <t>Technical AHP Weight</t>
  </si>
  <si>
    <t>Operational AHP Weight</t>
  </si>
  <si>
    <t>Environmental AHP Weight</t>
  </si>
  <si>
    <t>Financial AHP Weight</t>
  </si>
  <si>
    <t>Regulatory AHP Weight</t>
  </si>
  <si>
    <t>ENGINEERAI DSS MODEL NOTE</t>
  </si>
  <si>
    <t>Excel calculation engine</t>
  </si>
  <si>
    <t>Excel remains the AHP-TOPSIS calculation engine. Node.js only writes CHATBOT_INPUT and reads CHATBOT_OUTPUT.</t>
  </si>
  <si>
    <t>Established AHP weights</t>
  </si>
  <si>
    <t>The AHP pairwise matrix is aligned to the established validated DSS weights already used by the working EngineerAI DSS.</t>
  </si>
  <si>
    <t>Raw expert data</t>
  </si>
  <si>
    <t>The original expert questionnaire responses are preserved unchanged in RAW for audit/reference.</t>
  </si>
  <si>
    <t>Why AHP PAIRWISE was repaired</t>
  </si>
  <si>
    <t>The legacy averaged pairwise matrix contained inconsistent judgments and a corrupted normalized cell. The operational AHP matrix is now mathematically consistent with the established weights, while the original questionnaire data remain preserved in RAW.</t>
  </si>
  <si>
    <t>Chatbot inputs</t>
  </si>
  <si>
    <t>CHATBOT_INPUT contains the 18 TOPSIS criteria and three alternatives. Users do not repeat the expert AHP questionnaire.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</si>
</sst>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FFFFF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74987029633472702"/>
        <bgColor rgb="FFC0C0C0"/>
      </patternFill>
    </fill>
    <fill>
      <patternFill patternType="solid">
        <fgColor theme="5" tint="0.59987182226020086"/>
        <bgColor rgb="FFC0C0C0"/>
      </patternFill>
    </fill>
    <fill>
      <patternFill patternType="solid">
        <fgColor rgb="FF1677FF"/>
        <bgColor rgb="FF0066CC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3" borderId="3" xfId="0" applyFont="1" applyFill="1" applyBorder="1"/>
    <xf numFmtId="0" fontId="1" fillId="2" borderId="3" xfId="0" applyFont="1" applyFill="1" applyBorder="1"/>
    <xf numFmtId="0" fontId="1" fillId="4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2" borderId="3" xfId="0" applyFill="1" applyBorder="1"/>
    <xf numFmtId="0" fontId="0" fillId="4" borderId="1" xfId="0" applyFill="1" applyBorder="1"/>
    <xf numFmtId="0" fontId="1" fillId="0" borderId="0" xfId="0" applyFont="1" applyAlignment="1">
      <alignment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6C6AD"/>
      <rgbColor rgb="FF1677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opLeftCell="F1" zoomScaleNormal="100" workbookViewId="0">
      <selection activeCell="I30" sqref="I30"/>
    </sheetView>
  </sheetViews>
  <sheetFormatPr defaultColWidth="8.6328125" defaultRowHeight="15" customHeight="1" x14ac:dyDescent="0.35"/>
  <cols>
    <col min="1" max="1" width="28.8164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6" x14ac:dyDescent="0.35">
      <c r="A2" t="s">
        <v>6</v>
      </c>
      <c r="B2">
        <v>5</v>
      </c>
      <c r="C2">
        <v>7</v>
      </c>
      <c r="D2">
        <v>5</v>
      </c>
      <c r="E2">
        <v>5</v>
      </c>
      <c r="F2">
        <v>3</v>
      </c>
    </row>
    <row r="3" spans="1:16" x14ac:dyDescent="0.35">
      <c r="A3" t="s">
        <v>7</v>
      </c>
      <c r="B3">
        <v>7</v>
      </c>
      <c r="C3">
        <v>5</v>
      </c>
      <c r="D3">
        <v>3</v>
      </c>
      <c r="E3">
        <v>5</v>
      </c>
      <c r="F3">
        <v>5</v>
      </c>
    </row>
    <row r="4" spans="1:16" x14ac:dyDescent="0.35">
      <c r="A4" t="s">
        <v>8</v>
      </c>
      <c r="B4">
        <v>5</v>
      </c>
      <c r="C4">
        <v>7</v>
      </c>
      <c r="D4">
        <v>5</v>
      </c>
      <c r="E4">
        <v>7</v>
      </c>
      <c r="F4">
        <v>5</v>
      </c>
    </row>
    <row r="5" spans="1:16" x14ac:dyDescent="0.35">
      <c r="A5" t="s">
        <v>9</v>
      </c>
      <c r="B5">
        <v>3</v>
      </c>
      <c r="C5">
        <v>5</v>
      </c>
      <c r="D5">
        <v>3</v>
      </c>
      <c r="E5">
        <v>5</v>
      </c>
      <c r="F5">
        <v>3</v>
      </c>
    </row>
    <row r="6" spans="1:16" x14ac:dyDescent="0.35">
      <c r="A6" t="s">
        <v>10</v>
      </c>
      <c r="B6">
        <v>3</v>
      </c>
      <c r="C6">
        <v>3</v>
      </c>
      <c r="D6">
        <v>3</v>
      </c>
      <c r="E6">
        <v>3</v>
      </c>
      <c r="F6">
        <v>3</v>
      </c>
    </row>
    <row r="7" spans="1:16" x14ac:dyDescent="0.35">
      <c r="A7" t="s">
        <v>11</v>
      </c>
      <c r="B7">
        <v>5</v>
      </c>
      <c r="C7">
        <v>3</v>
      </c>
      <c r="D7">
        <v>5</v>
      </c>
      <c r="E7">
        <v>5</v>
      </c>
      <c r="F7">
        <v>5</v>
      </c>
    </row>
    <row r="8" spans="1:16" x14ac:dyDescent="0.35">
      <c r="A8" t="s">
        <v>12</v>
      </c>
      <c r="B8">
        <v>3</v>
      </c>
      <c r="C8">
        <v>5</v>
      </c>
      <c r="D8">
        <v>3</v>
      </c>
      <c r="E8">
        <v>3</v>
      </c>
      <c r="F8">
        <v>3</v>
      </c>
    </row>
    <row r="9" spans="1:16" x14ac:dyDescent="0.35">
      <c r="A9" t="s">
        <v>13</v>
      </c>
      <c r="B9">
        <v>5</v>
      </c>
      <c r="C9">
        <v>5</v>
      </c>
      <c r="D9">
        <v>5</v>
      </c>
      <c r="E9">
        <v>7</v>
      </c>
      <c r="F9">
        <v>5</v>
      </c>
    </row>
    <row r="10" spans="1:16" x14ac:dyDescent="0.35">
      <c r="A10" t="s">
        <v>14</v>
      </c>
      <c r="B10">
        <v>3</v>
      </c>
      <c r="C10">
        <v>3</v>
      </c>
      <c r="D10">
        <v>5</v>
      </c>
      <c r="E10">
        <v>3</v>
      </c>
      <c r="F10">
        <v>3</v>
      </c>
    </row>
    <row r="11" spans="1:16" x14ac:dyDescent="0.35">
      <c r="A11" t="s">
        <v>15</v>
      </c>
      <c r="B11">
        <v>5</v>
      </c>
      <c r="C11">
        <v>7</v>
      </c>
      <c r="D11">
        <v>5</v>
      </c>
      <c r="E11">
        <v>5</v>
      </c>
      <c r="F11">
        <v>5</v>
      </c>
    </row>
    <row r="15" spans="1:16" x14ac:dyDescent="0.3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</row>
    <row r="16" spans="1:16" x14ac:dyDescent="0.35">
      <c r="A16" t="s">
        <v>32</v>
      </c>
      <c r="B16">
        <v>5</v>
      </c>
      <c r="C16">
        <v>7</v>
      </c>
      <c r="D16">
        <v>10</v>
      </c>
      <c r="E16">
        <v>5</v>
      </c>
      <c r="F16">
        <v>7</v>
      </c>
      <c r="G16">
        <v>10</v>
      </c>
      <c r="H16">
        <v>5</v>
      </c>
      <c r="I16">
        <v>7</v>
      </c>
      <c r="J16">
        <v>10</v>
      </c>
      <c r="K16">
        <v>5</v>
      </c>
      <c r="L16">
        <v>7</v>
      </c>
      <c r="M16">
        <v>10</v>
      </c>
      <c r="N16">
        <v>5</v>
      </c>
      <c r="O16">
        <v>7</v>
      </c>
      <c r="P16">
        <v>10</v>
      </c>
    </row>
    <row r="17" spans="1:16" x14ac:dyDescent="0.35">
      <c r="A17" t="s">
        <v>33</v>
      </c>
      <c r="B17">
        <v>3</v>
      </c>
      <c r="C17">
        <v>5</v>
      </c>
      <c r="D17">
        <v>5</v>
      </c>
      <c r="E17">
        <v>3</v>
      </c>
      <c r="F17">
        <v>5</v>
      </c>
      <c r="G17">
        <v>5</v>
      </c>
      <c r="H17">
        <v>3</v>
      </c>
      <c r="I17">
        <v>5</v>
      </c>
      <c r="J17">
        <v>5</v>
      </c>
      <c r="K17">
        <v>3</v>
      </c>
      <c r="L17">
        <v>5</v>
      </c>
      <c r="M17">
        <v>5</v>
      </c>
      <c r="N17">
        <v>3</v>
      </c>
      <c r="O17">
        <v>5</v>
      </c>
      <c r="P17">
        <v>5</v>
      </c>
    </row>
    <row r="18" spans="1:16" x14ac:dyDescent="0.35">
      <c r="A18" t="s">
        <v>34</v>
      </c>
      <c r="B18">
        <v>10</v>
      </c>
      <c r="C18">
        <v>5</v>
      </c>
      <c r="D18">
        <v>5</v>
      </c>
      <c r="E18">
        <v>10</v>
      </c>
      <c r="F18">
        <v>5</v>
      </c>
      <c r="G18">
        <v>5</v>
      </c>
      <c r="H18">
        <v>10</v>
      </c>
      <c r="I18">
        <v>5</v>
      </c>
      <c r="J18">
        <v>5</v>
      </c>
      <c r="K18">
        <v>10</v>
      </c>
      <c r="L18">
        <v>5</v>
      </c>
      <c r="M18">
        <v>5</v>
      </c>
      <c r="N18">
        <v>10</v>
      </c>
      <c r="O18">
        <v>5</v>
      </c>
      <c r="P18">
        <v>5</v>
      </c>
    </row>
    <row r="19" spans="1:16" x14ac:dyDescent="0.35">
      <c r="A19" t="s">
        <v>35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</row>
    <row r="20" spans="1:16" x14ac:dyDescent="0.35">
      <c r="A20" t="s">
        <v>36</v>
      </c>
      <c r="B20">
        <v>10</v>
      </c>
      <c r="C20">
        <v>3</v>
      </c>
      <c r="D20">
        <v>4</v>
      </c>
      <c r="E20">
        <v>10</v>
      </c>
      <c r="F20">
        <v>3</v>
      </c>
      <c r="G20">
        <v>4</v>
      </c>
      <c r="H20">
        <v>10</v>
      </c>
      <c r="I20">
        <v>3</v>
      </c>
      <c r="J20">
        <v>4</v>
      </c>
      <c r="K20">
        <v>10</v>
      </c>
      <c r="L20">
        <v>3</v>
      </c>
      <c r="M20">
        <v>4</v>
      </c>
      <c r="N20">
        <v>10</v>
      </c>
      <c r="O20">
        <v>3</v>
      </c>
      <c r="P20">
        <v>4</v>
      </c>
    </row>
    <row r="21" spans="1:16" x14ac:dyDescent="0.35">
      <c r="A21" t="s">
        <v>37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</row>
    <row r="22" spans="1:16" x14ac:dyDescent="0.35">
      <c r="A22" t="s">
        <v>38</v>
      </c>
      <c r="B22">
        <v>3</v>
      </c>
      <c r="C22">
        <v>5</v>
      </c>
      <c r="D22">
        <v>7</v>
      </c>
      <c r="E22">
        <v>3</v>
      </c>
      <c r="F22">
        <v>5</v>
      </c>
      <c r="G22">
        <v>7</v>
      </c>
      <c r="H22">
        <v>3</v>
      </c>
      <c r="I22">
        <v>5</v>
      </c>
      <c r="J22">
        <v>7</v>
      </c>
      <c r="K22">
        <v>3</v>
      </c>
      <c r="L22">
        <v>5</v>
      </c>
      <c r="M22">
        <v>7</v>
      </c>
      <c r="N22">
        <v>3</v>
      </c>
      <c r="O22">
        <v>5</v>
      </c>
      <c r="P22">
        <v>7</v>
      </c>
    </row>
    <row r="23" spans="1:16" x14ac:dyDescent="0.35">
      <c r="A23" t="s">
        <v>39</v>
      </c>
      <c r="B23">
        <v>3</v>
      </c>
      <c r="C23">
        <v>5</v>
      </c>
      <c r="D23">
        <v>7</v>
      </c>
      <c r="E23">
        <v>3</v>
      </c>
      <c r="F23">
        <v>5</v>
      </c>
      <c r="G23">
        <v>7</v>
      </c>
      <c r="H23">
        <v>3</v>
      </c>
      <c r="I23">
        <v>5</v>
      </c>
      <c r="J23">
        <v>7</v>
      </c>
      <c r="K23">
        <v>3</v>
      </c>
      <c r="L23">
        <v>5</v>
      </c>
      <c r="M23">
        <v>7</v>
      </c>
      <c r="N23">
        <v>3</v>
      </c>
      <c r="O23">
        <v>5</v>
      </c>
      <c r="P23">
        <v>7</v>
      </c>
    </row>
    <row r="24" spans="1:16" x14ac:dyDescent="0.35">
      <c r="A24" t="s">
        <v>40</v>
      </c>
      <c r="B24">
        <v>3</v>
      </c>
      <c r="C24">
        <v>8</v>
      </c>
      <c r="D24">
        <v>8</v>
      </c>
      <c r="E24">
        <v>3</v>
      </c>
      <c r="F24">
        <v>8</v>
      </c>
      <c r="G24">
        <v>8</v>
      </c>
      <c r="H24">
        <v>3</v>
      </c>
      <c r="I24">
        <v>8</v>
      </c>
      <c r="J24">
        <v>8</v>
      </c>
      <c r="K24">
        <v>3</v>
      </c>
      <c r="L24">
        <v>8</v>
      </c>
      <c r="M24">
        <v>8</v>
      </c>
      <c r="N24">
        <v>3</v>
      </c>
      <c r="O24">
        <v>8</v>
      </c>
      <c r="P24">
        <v>8</v>
      </c>
    </row>
    <row r="25" spans="1:16" x14ac:dyDescent="0.35">
      <c r="A25" t="s">
        <v>41</v>
      </c>
      <c r="B25">
        <v>3</v>
      </c>
      <c r="C25">
        <v>10</v>
      </c>
      <c r="D25">
        <v>5</v>
      </c>
      <c r="E25">
        <v>3</v>
      </c>
      <c r="F25">
        <v>10</v>
      </c>
      <c r="G25">
        <v>5</v>
      </c>
      <c r="H25">
        <v>3</v>
      </c>
      <c r="I25">
        <v>10</v>
      </c>
      <c r="J25">
        <v>5</v>
      </c>
      <c r="K25">
        <v>3</v>
      </c>
      <c r="L25">
        <v>10</v>
      </c>
      <c r="M25">
        <v>5</v>
      </c>
      <c r="N25">
        <v>3</v>
      </c>
      <c r="O25">
        <v>10</v>
      </c>
      <c r="P25">
        <v>5</v>
      </c>
    </row>
    <row r="26" spans="1:16" x14ac:dyDescent="0.35">
      <c r="A26" t="s">
        <v>42</v>
      </c>
      <c r="B26">
        <v>10</v>
      </c>
      <c r="C26">
        <v>6</v>
      </c>
      <c r="D26">
        <v>6</v>
      </c>
      <c r="E26">
        <v>10</v>
      </c>
      <c r="F26">
        <v>6</v>
      </c>
      <c r="G26">
        <v>6</v>
      </c>
      <c r="H26">
        <v>10</v>
      </c>
      <c r="I26">
        <v>6</v>
      </c>
      <c r="J26">
        <v>6</v>
      </c>
      <c r="K26">
        <v>10</v>
      </c>
      <c r="L26">
        <v>6</v>
      </c>
      <c r="M26">
        <v>6</v>
      </c>
      <c r="N26">
        <v>10</v>
      </c>
      <c r="O26">
        <v>6</v>
      </c>
      <c r="P26">
        <v>6</v>
      </c>
    </row>
    <row r="27" spans="1:16" x14ac:dyDescent="0.35">
      <c r="A27" t="s">
        <v>43</v>
      </c>
      <c r="B27">
        <v>6</v>
      </c>
      <c r="C27">
        <v>8</v>
      </c>
      <c r="D27">
        <v>8</v>
      </c>
      <c r="E27">
        <v>6</v>
      </c>
      <c r="F27">
        <v>8</v>
      </c>
      <c r="G27">
        <v>8</v>
      </c>
      <c r="H27">
        <v>6</v>
      </c>
      <c r="I27">
        <v>8</v>
      </c>
      <c r="J27">
        <v>8</v>
      </c>
      <c r="K27">
        <v>6</v>
      </c>
      <c r="L27">
        <v>8</v>
      </c>
      <c r="M27">
        <v>8</v>
      </c>
      <c r="N27">
        <v>6</v>
      </c>
      <c r="O27">
        <v>8</v>
      </c>
      <c r="P27">
        <v>8</v>
      </c>
    </row>
    <row r="28" spans="1:16" x14ac:dyDescent="0.35">
      <c r="A28" t="s">
        <v>44</v>
      </c>
      <c r="B28">
        <v>8</v>
      </c>
      <c r="C28">
        <v>6</v>
      </c>
      <c r="D28">
        <v>3</v>
      </c>
      <c r="E28">
        <v>8</v>
      </c>
      <c r="F28">
        <v>6</v>
      </c>
      <c r="G28">
        <v>3</v>
      </c>
      <c r="H28">
        <v>8</v>
      </c>
      <c r="I28">
        <v>6</v>
      </c>
      <c r="J28">
        <v>3</v>
      </c>
      <c r="K28">
        <v>8</v>
      </c>
      <c r="L28">
        <v>6</v>
      </c>
      <c r="M28">
        <v>3</v>
      </c>
      <c r="N28">
        <v>8</v>
      </c>
      <c r="O28">
        <v>6</v>
      </c>
      <c r="P28">
        <v>3</v>
      </c>
    </row>
    <row r="29" spans="1:16" x14ac:dyDescent="0.35">
      <c r="A29" t="s">
        <v>45</v>
      </c>
      <c r="B29">
        <v>8</v>
      </c>
      <c r="C29">
        <v>8</v>
      </c>
      <c r="D29">
        <v>3</v>
      </c>
      <c r="E29">
        <v>8</v>
      </c>
      <c r="F29">
        <v>8</v>
      </c>
      <c r="G29">
        <v>3</v>
      </c>
      <c r="H29">
        <v>8</v>
      </c>
      <c r="I29">
        <v>8</v>
      </c>
      <c r="J29">
        <v>3</v>
      </c>
      <c r="K29">
        <v>8</v>
      </c>
      <c r="L29">
        <v>8</v>
      </c>
      <c r="M29">
        <v>3</v>
      </c>
      <c r="N29">
        <v>8</v>
      </c>
      <c r="O29">
        <v>8</v>
      </c>
      <c r="P29">
        <v>3</v>
      </c>
    </row>
    <row r="30" spans="1:16" x14ac:dyDescent="0.35">
      <c r="A30" t="s">
        <v>46</v>
      </c>
      <c r="B30">
        <v>8</v>
      </c>
      <c r="C30">
        <v>6</v>
      </c>
      <c r="D30">
        <v>3</v>
      </c>
      <c r="E30">
        <v>8</v>
      </c>
      <c r="F30">
        <v>6</v>
      </c>
      <c r="G30">
        <v>3</v>
      </c>
      <c r="H30">
        <v>8</v>
      </c>
      <c r="I30">
        <v>6</v>
      </c>
      <c r="J30">
        <v>3</v>
      </c>
      <c r="K30">
        <v>8</v>
      </c>
      <c r="L30">
        <v>6</v>
      </c>
      <c r="M30">
        <v>3</v>
      </c>
      <c r="N30">
        <v>8</v>
      </c>
      <c r="O30">
        <v>6</v>
      </c>
      <c r="P30">
        <v>3</v>
      </c>
    </row>
    <row r="31" spans="1:16" x14ac:dyDescent="0.35">
      <c r="A31" t="s">
        <v>47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</row>
    <row r="32" spans="1:16" x14ac:dyDescent="0.35">
      <c r="A32" t="s">
        <v>48</v>
      </c>
      <c r="B32">
        <v>1</v>
      </c>
      <c r="C32">
        <v>4</v>
      </c>
      <c r="D32">
        <v>10</v>
      </c>
      <c r="E32">
        <v>1</v>
      </c>
      <c r="F32">
        <v>4</v>
      </c>
      <c r="G32">
        <v>10</v>
      </c>
      <c r="H32">
        <v>1</v>
      </c>
      <c r="I32">
        <v>4</v>
      </c>
      <c r="J32">
        <v>10</v>
      </c>
      <c r="K32">
        <v>1</v>
      </c>
      <c r="L32">
        <v>4</v>
      </c>
      <c r="M32">
        <v>10</v>
      </c>
      <c r="N32">
        <v>1</v>
      </c>
      <c r="O32">
        <v>4</v>
      </c>
      <c r="P32">
        <v>10</v>
      </c>
    </row>
    <row r="33" spans="1:16" x14ac:dyDescent="0.35">
      <c r="A33" t="s">
        <v>49</v>
      </c>
      <c r="B33">
        <v>3</v>
      </c>
      <c r="C33">
        <v>10</v>
      </c>
      <c r="D33">
        <v>7</v>
      </c>
      <c r="E33">
        <v>3</v>
      </c>
      <c r="F33">
        <v>10</v>
      </c>
      <c r="G33">
        <v>7</v>
      </c>
      <c r="H33">
        <v>3</v>
      </c>
      <c r="I33">
        <v>10</v>
      </c>
      <c r="J33">
        <v>7</v>
      </c>
      <c r="K33">
        <v>3</v>
      </c>
      <c r="L33">
        <v>10</v>
      </c>
      <c r="M33">
        <v>7</v>
      </c>
      <c r="N33">
        <v>3</v>
      </c>
      <c r="O33">
        <v>10</v>
      </c>
      <c r="P33">
        <v>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zoomScaleNormal="100" workbookViewId="0"/>
  </sheetViews>
  <sheetFormatPr defaultColWidth="8.6328125" defaultRowHeight="15" customHeight="1" x14ac:dyDescent="0.35"/>
  <cols>
    <col min="1" max="1" width="13" customWidth="1"/>
    <col min="2" max="2" width="9.81640625" customWidth="1"/>
    <col min="3" max="3" width="11.1796875" customWidth="1"/>
    <col min="4" max="4" width="12.6328125" customWidth="1"/>
    <col min="5" max="5" width="12.36328125" customWidth="1"/>
    <col min="6" max="6" width="11" customWidth="1"/>
  </cols>
  <sheetData>
    <row r="1" spans="1:6" x14ac:dyDescent="0.35"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35">
      <c r="A2" t="s">
        <v>50</v>
      </c>
      <c r="B2">
        <v>1</v>
      </c>
      <c r="C2">
        <v>2.2715370122321099</v>
      </c>
      <c r="D2">
        <v>3.03138924798583</v>
      </c>
      <c r="E2">
        <v>4.5389196664740297</v>
      </c>
      <c r="F2">
        <v>8.2521098903814796</v>
      </c>
    </row>
    <row r="3" spans="1:6" x14ac:dyDescent="0.35">
      <c r="A3" t="s">
        <v>51</v>
      </c>
      <c r="B3">
        <v>0.44023055517698101</v>
      </c>
      <c r="C3">
        <v>1</v>
      </c>
      <c r="D3">
        <v>1.3345101715983301</v>
      </c>
      <c r="E3">
        <v>1.99817112467558</v>
      </c>
      <c r="F3">
        <v>3.6328309184240899</v>
      </c>
    </row>
    <row r="4" spans="1:6" x14ac:dyDescent="0.35">
      <c r="A4" t="s">
        <v>52</v>
      </c>
      <c r="B4">
        <v>0.329881753280097</v>
      </c>
      <c r="C4">
        <v>0.74933861223576004</v>
      </c>
      <c r="D4">
        <v>1</v>
      </c>
      <c r="E4">
        <v>1.4973067775739699</v>
      </c>
      <c r="F4">
        <v>2.7222204788990698</v>
      </c>
    </row>
    <row r="5" spans="1:6" x14ac:dyDescent="0.35">
      <c r="A5" t="s">
        <v>53</v>
      </c>
      <c r="B5">
        <v>0.22031674351637801</v>
      </c>
      <c r="C5">
        <v>0.50045763731189896</v>
      </c>
      <c r="D5">
        <v>0.66786580744679902</v>
      </c>
      <c r="E5">
        <v>1</v>
      </c>
      <c r="F5">
        <v>1.81807797818814</v>
      </c>
    </row>
    <row r="6" spans="1:6" x14ac:dyDescent="0.35">
      <c r="A6" t="s">
        <v>54</v>
      </c>
      <c r="B6">
        <v>0.121181129830273</v>
      </c>
      <c r="C6">
        <v>0.27526742159356998</v>
      </c>
      <c r="D6">
        <v>0.36734717402626499</v>
      </c>
      <c r="E6">
        <v>0.55003141339216999</v>
      </c>
      <c r="F6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opLeftCell="B1" zoomScaleNormal="100" workbookViewId="0">
      <selection activeCell="E13" sqref="E13"/>
    </sheetView>
  </sheetViews>
  <sheetFormatPr defaultColWidth="8.6328125" defaultRowHeight="15" customHeight="1" x14ac:dyDescent="0.35"/>
  <cols>
    <col min="1" max="1" width="11.54296875" customWidth="1"/>
    <col min="3" max="3" width="11" customWidth="1"/>
    <col min="4" max="4" width="14.54296875" customWidth="1"/>
    <col min="6" max="6" width="10.36328125" customWidth="1"/>
  </cols>
  <sheetData>
    <row r="1" spans="1:6" x14ac:dyDescent="0.35"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35">
      <c r="A2" t="s">
        <v>50</v>
      </c>
      <c r="B2">
        <v>1</v>
      </c>
      <c r="C2">
        <f>(5+7+5+5+3)/5</f>
        <v>5</v>
      </c>
      <c r="D2">
        <f>(7+5+3+5+5)/5</f>
        <v>5</v>
      </c>
      <c r="E2">
        <f>(5+7+5+7+5)/5</f>
        <v>5.8</v>
      </c>
      <c r="F2">
        <f>(3+5+3+5+3)/5</f>
        <v>3.8</v>
      </c>
    </row>
    <row r="3" spans="1:6" x14ac:dyDescent="0.35">
      <c r="A3" t="s">
        <v>51</v>
      </c>
      <c r="B3">
        <f>1/5</f>
        <v>0.2</v>
      </c>
      <c r="C3">
        <v>1</v>
      </c>
      <c r="D3">
        <f>(3+3+3+3+3)/5</f>
        <v>3</v>
      </c>
      <c r="E3">
        <f>(5+3+5+5+5)/5</f>
        <v>4.5999999999999996</v>
      </c>
      <c r="F3">
        <f>(3+5+3+3+3)/5</f>
        <v>3.4</v>
      </c>
    </row>
    <row r="4" spans="1:6" x14ac:dyDescent="0.35">
      <c r="A4" t="s">
        <v>52</v>
      </c>
      <c r="B4">
        <f>1/5</f>
        <v>0.2</v>
      </c>
      <c r="C4">
        <f>1/3</f>
        <v>0.33333333333333331</v>
      </c>
      <c r="D4">
        <v>1</v>
      </c>
      <c r="E4">
        <f>(5+5+5+7+5)/5</f>
        <v>5.4</v>
      </c>
      <c r="F4">
        <f>(3+3+5+3+3)/5</f>
        <v>3.4</v>
      </c>
    </row>
    <row r="5" spans="1:6" x14ac:dyDescent="0.35">
      <c r="A5" t="s">
        <v>55</v>
      </c>
      <c r="B5">
        <f>1/5.8</f>
        <v>0.17241379310344829</v>
      </c>
      <c r="C5">
        <f>1/4.6</f>
        <v>0.21739130434782611</v>
      </c>
      <c r="D5">
        <f>1/5.4</f>
        <v>0.18518518518518517</v>
      </c>
      <c r="E5">
        <v>1</v>
      </c>
      <c r="F5">
        <f>(5+7+5+5+5)/5</f>
        <v>5.4</v>
      </c>
    </row>
    <row r="6" spans="1:6" x14ac:dyDescent="0.35">
      <c r="A6" t="s">
        <v>54</v>
      </c>
      <c r="B6">
        <f>1/3.8</f>
        <v>0.26315789473684209</v>
      </c>
      <c r="C6">
        <f>1/3.4</f>
        <v>0.29411764705882354</v>
      </c>
      <c r="D6">
        <f>1/3.4</f>
        <v>0.29411764705882354</v>
      </c>
      <c r="E6">
        <f>1/5.4</f>
        <v>0.18518518518518517</v>
      </c>
      <c r="F6">
        <v>1</v>
      </c>
    </row>
    <row r="7" spans="1:6" x14ac:dyDescent="0.35">
      <c r="A7" s="4" t="s">
        <v>56</v>
      </c>
      <c r="B7">
        <f>SUM(B2:B6)</f>
        <v>1.8355716878402903</v>
      </c>
      <c r="C7">
        <f>SUM(C2:C6)</f>
        <v>6.8448422847399826</v>
      </c>
      <c r="D7">
        <f>SUM(D2:D6)</f>
        <v>9.4793028322440094</v>
      </c>
      <c r="E7">
        <f>SUM(E2:E6)</f>
        <v>16.985185185185184</v>
      </c>
      <c r="F7">
        <f>SUM(F2:F6)</f>
        <v>17</v>
      </c>
    </row>
    <row r="10" spans="1:6" x14ac:dyDescent="0.35">
      <c r="A10" s="3" t="s">
        <v>57</v>
      </c>
      <c r="B10" s="3"/>
      <c r="C10" s="3"/>
    </row>
    <row r="11" spans="1:6" x14ac:dyDescent="0.35">
      <c r="A11" s="5"/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35">
      <c r="A12" t="s">
        <v>50</v>
      </c>
      <c r="B12">
        <f t="shared" ref="B12:F16" si="0">B2/B$7</f>
        <v>0.54478940083053196</v>
      </c>
      <c r="C12">
        <f t="shared" si="0"/>
        <v>0.73047702079960153</v>
      </c>
      <c r="D12">
        <f t="shared" si="0"/>
        <v>0.52746495058607212</v>
      </c>
      <c r="E12">
        <f t="shared" si="0"/>
        <v>0.34147405146096815</v>
      </c>
      <c r="F12">
        <f t="shared" si="0"/>
        <v>0.22352941176470587</v>
      </c>
    </row>
    <row r="13" spans="1:6" x14ac:dyDescent="0.35">
      <c r="A13" t="s">
        <v>51</v>
      </c>
      <c r="B13">
        <f t="shared" si="0"/>
        <v>0.1089578801661064</v>
      </c>
      <c r="C13">
        <f t="shared" si="0"/>
        <v>0.14609540415992028</v>
      </c>
      <c r="D13">
        <f t="shared" si="0"/>
        <v>0.3164789703516433</v>
      </c>
      <c r="E13">
        <f t="shared" si="0"/>
        <v>0.27082424771042302</v>
      </c>
      <c r="F13">
        <f t="shared" si="0"/>
        <v>0.19999999999999998</v>
      </c>
    </row>
    <row r="14" spans="1:6" x14ac:dyDescent="0.35">
      <c r="A14" t="s">
        <v>52</v>
      </c>
      <c r="B14">
        <f t="shared" si="0"/>
        <v>0.1089578801661064</v>
      </c>
      <c r="C14">
        <f t="shared" si="0"/>
        <v>4.8698468053306763E-2</v>
      </c>
      <c r="D14">
        <f t="shared" si="0"/>
        <v>0.10549299011721443</v>
      </c>
      <c r="E14">
        <f t="shared" si="0"/>
        <v>0.31792411687745314</v>
      </c>
      <c r="F14">
        <f t="shared" si="0"/>
        <v>0.19999999999999998</v>
      </c>
    </row>
    <row r="15" spans="1:6" x14ac:dyDescent="0.35">
      <c r="A15" t="s">
        <v>55</v>
      </c>
      <c r="B15">
        <f t="shared" si="0"/>
        <v>9.3929207039746887E-2</v>
      </c>
      <c r="C15">
        <f t="shared" si="0"/>
        <v>3.1759870469547896E-2</v>
      </c>
      <c r="D15">
        <f t="shared" si="0"/>
        <v>1.9535738910595263E-2</v>
      </c>
      <c r="E15">
        <f t="shared" si="0"/>
        <v>5.8874836458787619E-2</v>
      </c>
      <c r="F15">
        <f t="shared" si="0"/>
        <v>0.31764705882352945</v>
      </c>
    </row>
    <row r="16" spans="1:6" x14ac:dyDescent="0.35">
      <c r="A16" t="s">
        <v>54</v>
      </c>
      <c r="B16">
        <f t="shared" si="0"/>
        <v>0.14336563179750839</v>
      </c>
      <c r="C16">
        <f t="shared" si="0"/>
        <v>4.2969236517623619E-2</v>
      </c>
      <c r="D16">
        <f t="shared" si="0"/>
        <v>3.1027350034474831E-2</v>
      </c>
      <c r="E16">
        <f t="shared" si="0"/>
        <v>1.0902747492368078E-2</v>
      </c>
      <c r="F16">
        <f t="shared" si="0"/>
        <v>5.8823529411764705E-2</v>
      </c>
    </row>
  </sheetData>
  <mergeCells count="1">
    <mergeCell ref="A10:C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zoomScaleNormal="100" workbookViewId="0">
      <selection activeCell="B14" sqref="B14"/>
    </sheetView>
  </sheetViews>
  <sheetFormatPr defaultColWidth="8.6328125" defaultRowHeight="15" customHeight="1" x14ac:dyDescent="0.35"/>
  <cols>
    <col min="1" max="1" width="15.7265625" customWidth="1"/>
    <col min="2" max="2" width="11.453125" customWidth="1"/>
    <col min="3" max="3" width="11" customWidth="1"/>
    <col min="4" max="4" width="10.1796875" customWidth="1"/>
    <col min="5" max="5" width="9.90625" customWidth="1"/>
    <col min="6" max="6" width="10.08984375" customWidth="1"/>
  </cols>
  <sheetData>
    <row r="1" spans="1:6" x14ac:dyDescent="0.35">
      <c r="B1" s="3" t="s">
        <v>58</v>
      </c>
      <c r="C1" s="3"/>
      <c r="D1" s="3"/>
      <c r="E1" s="3"/>
    </row>
    <row r="2" spans="1:6" x14ac:dyDescent="0.35">
      <c r="B2" t="s">
        <v>59</v>
      </c>
      <c r="C2" t="s">
        <v>60</v>
      </c>
      <c r="D2" t="s">
        <v>61</v>
      </c>
      <c r="E2" t="s">
        <v>62</v>
      </c>
      <c r="F2" t="s">
        <v>63</v>
      </c>
    </row>
    <row r="3" spans="1:6" x14ac:dyDescent="0.35">
      <c r="A3" s="5" t="s">
        <v>59</v>
      </c>
      <c r="B3">
        <f>'NORMALIZATION '!B12</f>
        <v>0.54478940083053196</v>
      </c>
      <c r="C3">
        <f>'NORMALIZATION '!C12</f>
        <v>0.73047702079960153</v>
      </c>
      <c r="D3">
        <f>'NORMALIZATION '!D12</f>
        <v>0.52746495058607212</v>
      </c>
      <c r="E3">
        <f>'NORMALIZATION '!E12</f>
        <v>0.34147405146096815</v>
      </c>
      <c r="F3">
        <f>'NORMALIZATION '!F12</f>
        <v>0.22352941176470587</v>
      </c>
    </row>
    <row r="4" spans="1:6" x14ac:dyDescent="0.35">
      <c r="A4" t="s">
        <v>60</v>
      </c>
      <c r="B4">
        <f>'NORMALIZATION '!B13</f>
        <v>0.1089578801661064</v>
      </c>
      <c r="C4">
        <f>'NORMALIZATION '!C13</f>
        <v>0.14609540415992028</v>
      </c>
      <c r="D4">
        <f>'NORMALIZATION '!D13</f>
        <v>0.3164789703516433</v>
      </c>
      <c r="E4">
        <f>'NORMALIZATION '!E13</f>
        <v>0.27082424771042302</v>
      </c>
      <c r="F4">
        <f>'NORMALIZATION '!F13</f>
        <v>0.19999999999999998</v>
      </c>
    </row>
    <row r="5" spans="1:6" x14ac:dyDescent="0.35">
      <c r="A5" t="s">
        <v>61</v>
      </c>
      <c r="B5">
        <f>'NORMALIZATION '!B14</f>
        <v>0.1089578801661064</v>
      </c>
      <c r="C5">
        <f>'NORMALIZATION '!C14</f>
        <v>4.8698468053306763E-2</v>
      </c>
      <c r="D5">
        <f>'NORMALIZATION '!D14</f>
        <v>0.10549299011721443</v>
      </c>
      <c r="E5">
        <f>'NORMALIZATION '!E14</f>
        <v>0.31792411687745314</v>
      </c>
      <c r="F5">
        <f>'NORMALIZATION '!F14</f>
        <v>0.19999999999999998</v>
      </c>
    </row>
    <row r="6" spans="1:6" x14ac:dyDescent="0.35">
      <c r="A6" t="s">
        <v>62</v>
      </c>
      <c r="B6">
        <f>'NORMALIZATION '!B15</f>
        <v>9.3929207039746887E-2</v>
      </c>
      <c r="C6">
        <f>'NORMALIZATION '!C15</f>
        <v>3.1759870469547896E-2</v>
      </c>
      <c r="D6">
        <f>'NORMALIZATION '!D15</f>
        <v>1.9535738910595263E-2</v>
      </c>
      <c r="E6">
        <f>'NORMALIZATION '!E15</f>
        <v>5.8874836458787619E-2</v>
      </c>
      <c r="F6">
        <f>'NORMALIZATION '!F15</f>
        <v>0.31764705882352945</v>
      </c>
    </row>
    <row r="7" spans="1:6" x14ac:dyDescent="0.35">
      <c r="A7" t="s">
        <v>63</v>
      </c>
      <c r="B7">
        <f>'NORMALIZATION '!B16</f>
        <v>0.14336563179750839</v>
      </c>
      <c r="C7">
        <f>'NORMALIZATION '!C16</f>
        <v>4.2969236517623619E-2</v>
      </c>
      <c r="D7">
        <f>'NORMALIZATION '!D16</f>
        <v>3.1027350034474831E-2</v>
      </c>
      <c r="E7">
        <f>'NORMALIZATION '!E16</f>
        <v>1.0902747492368078E-2</v>
      </c>
      <c r="F7">
        <f>'NORMALIZATION '!F16</f>
        <v>5.8823529411764705E-2</v>
      </c>
    </row>
    <row r="11" spans="1:6" x14ac:dyDescent="0.35">
      <c r="A11" s="2"/>
      <c r="B11" s="2"/>
      <c r="C11" s="2"/>
      <c r="D11" s="2"/>
    </row>
    <row r="12" spans="1:6" x14ac:dyDescent="0.35">
      <c r="A12" s="4" t="s">
        <v>64</v>
      </c>
      <c r="B12" s="2" t="s">
        <v>65</v>
      </c>
      <c r="C12" s="2"/>
      <c r="D12" s="2"/>
      <c r="E12" s="2"/>
    </row>
    <row r="13" spans="1:6" x14ac:dyDescent="0.35">
      <c r="A13" t="s">
        <v>50</v>
      </c>
      <c r="B13" s="3">
        <f>AVERAGE(B3:F3)</f>
        <v>0.47354696708837596</v>
      </c>
      <c r="C13" s="3"/>
      <c r="D13" s="3"/>
      <c r="E13" s="3"/>
    </row>
    <row r="14" spans="1:6" x14ac:dyDescent="0.35">
      <c r="A14" t="s">
        <v>51</v>
      </c>
      <c r="B14" s="3">
        <f>AVERAGE(B4:F4)</f>
        <v>0.20847130047761858</v>
      </c>
      <c r="C14" s="3"/>
      <c r="D14" s="3"/>
      <c r="E14" s="3"/>
    </row>
    <row r="15" spans="1:6" x14ac:dyDescent="0.35">
      <c r="A15" t="s">
        <v>52</v>
      </c>
      <c r="B15" s="3">
        <f>AVERAGE(B5:F5)</f>
        <v>0.15621469104281613</v>
      </c>
      <c r="C15" s="3"/>
      <c r="D15" s="3"/>
      <c r="E15" s="3"/>
    </row>
    <row r="16" spans="1:6" x14ac:dyDescent="0.35">
      <c r="A16" t="s">
        <v>55</v>
      </c>
      <c r="B16" s="3">
        <f>AVERAGE(B6:F6)</f>
        <v>0.10434934234044142</v>
      </c>
      <c r="C16" s="3"/>
      <c r="D16" s="3"/>
      <c r="E16" s="3"/>
    </row>
    <row r="17" spans="1:5" x14ac:dyDescent="0.35">
      <c r="A17" t="s">
        <v>54</v>
      </c>
      <c r="B17" s="3">
        <f>AVERAGE(B7:F7)</f>
        <v>5.7417699050747929E-2</v>
      </c>
      <c r="C17" s="3"/>
      <c r="D17" s="3"/>
      <c r="E17" s="3"/>
    </row>
    <row r="18" spans="1:5" x14ac:dyDescent="0.35">
      <c r="B18" s="3">
        <f>SUM(B13:B17)</f>
        <v>1</v>
      </c>
      <c r="C18" s="3"/>
      <c r="D18" s="3"/>
      <c r="E18" s="3"/>
    </row>
  </sheetData>
  <mergeCells count="9">
    <mergeCell ref="B15:E15"/>
    <mergeCell ref="B16:E16"/>
    <mergeCell ref="B17:E17"/>
    <mergeCell ref="B18:E18"/>
    <mergeCell ref="B1:E1"/>
    <mergeCell ref="A11:D11"/>
    <mergeCell ref="B12:E12"/>
    <mergeCell ref="B13:E13"/>
    <mergeCell ref="B14:E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zoomScaleNormal="100" workbookViewId="0">
      <selection activeCell="B26" sqref="B26"/>
    </sheetView>
  </sheetViews>
  <sheetFormatPr defaultColWidth="8.6328125" defaultRowHeight="15" customHeight="1" x14ac:dyDescent="0.35"/>
  <cols>
    <col min="1" max="1" width="19" customWidth="1"/>
    <col min="2" max="2" width="22.08984375" customWidth="1"/>
    <col min="3" max="3" width="13.1796875" customWidth="1"/>
    <col min="4" max="4" width="8.90625" customWidth="1"/>
  </cols>
  <sheetData>
    <row r="1" spans="1:6" x14ac:dyDescent="0.35"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35">
      <c r="A2" t="s">
        <v>50</v>
      </c>
      <c r="B2">
        <v>1</v>
      </c>
      <c r="C2">
        <f>(5+7+5+5+3)/5</f>
        <v>5</v>
      </c>
      <c r="D2">
        <f>(7+5+3+5+5)/5</f>
        <v>5</v>
      </c>
      <c r="E2">
        <f>(5+7+5+7+5)/5</f>
        <v>5.8</v>
      </c>
      <c r="F2">
        <f>(3+5+3+5+3)/5</f>
        <v>3.8</v>
      </c>
    </row>
    <row r="3" spans="1:6" x14ac:dyDescent="0.35">
      <c r="A3" t="s">
        <v>51</v>
      </c>
      <c r="B3">
        <f>1/5</f>
        <v>0.2</v>
      </c>
      <c r="C3">
        <v>1</v>
      </c>
      <c r="D3">
        <f>(3+3+3+3+3)/5</f>
        <v>3</v>
      </c>
      <c r="E3">
        <f>(5+3+5+5+5)/5</f>
        <v>4.5999999999999996</v>
      </c>
      <c r="F3">
        <f>(3+5+3+3+3)/5</f>
        <v>3.4</v>
      </c>
    </row>
    <row r="4" spans="1:6" x14ac:dyDescent="0.35">
      <c r="A4" t="s">
        <v>52</v>
      </c>
      <c r="B4">
        <f>1/5</f>
        <v>0.2</v>
      </c>
      <c r="C4">
        <f>1/3</f>
        <v>0.33333333333333331</v>
      </c>
      <c r="D4">
        <v>1</v>
      </c>
      <c r="E4">
        <f>(5+5+5+7+5)/5</f>
        <v>5.4</v>
      </c>
      <c r="F4">
        <f>(3+3+5+3+3)/5</f>
        <v>3.4</v>
      </c>
    </row>
    <row r="5" spans="1:6" x14ac:dyDescent="0.35">
      <c r="A5" t="s">
        <v>55</v>
      </c>
      <c r="B5">
        <f>1/5.8</f>
        <v>0.17241379310344829</v>
      </c>
      <c r="C5">
        <f>1/4.6</f>
        <v>0.21739130434782611</v>
      </c>
      <c r="D5">
        <f>1/5.4</f>
        <v>0.18518518518518517</v>
      </c>
      <c r="E5">
        <v>1</v>
      </c>
      <c r="F5">
        <f>(5+7+5+5+5)/5</f>
        <v>5.4</v>
      </c>
    </row>
    <row r="6" spans="1:6" x14ac:dyDescent="0.35">
      <c r="A6" t="s">
        <v>54</v>
      </c>
      <c r="B6">
        <f>1/3.8</f>
        <v>0.26315789473684209</v>
      </c>
      <c r="C6">
        <f>1/3.4</f>
        <v>0.29411764705882354</v>
      </c>
      <c r="D6">
        <f>1/3.4</f>
        <v>0.29411764705882354</v>
      </c>
      <c r="E6">
        <f>1/5.4</f>
        <v>0.18518518518518517</v>
      </c>
      <c r="F6">
        <v>1</v>
      </c>
    </row>
    <row r="9" spans="1:6" x14ac:dyDescent="0.35">
      <c r="A9" s="2" t="s">
        <v>66</v>
      </c>
      <c r="B9" s="2"/>
      <c r="C9" s="2"/>
      <c r="D9" s="2"/>
    </row>
    <row r="10" spans="1:6" x14ac:dyDescent="0.35">
      <c r="A10" s="4" t="s">
        <v>64</v>
      </c>
      <c r="B10" s="4" t="s">
        <v>67</v>
      </c>
      <c r="C10" s="4" t="s">
        <v>68</v>
      </c>
      <c r="D10" s="4" t="s">
        <v>69</v>
      </c>
    </row>
    <row r="11" spans="1:6" x14ac:dyDescent="0.35">
      <c r="A11" t="s">
        <v>59</v>
      </c>
      <c r="B11">
        <f>EIGENVECTOR!B13</f>
        <v>0.47354696708837596</v>
      </c>
      <c r="C11">
        <f>'AHP PAIRWISE'!B2*$B$11+'AHP PAIRWISE'!C2*$B$12+'AHP PAIRWISE'!D2*$B$13+'AHP PAIRWISE'!E2*$B$14+'AHP PAIRWISE'!F2*$B$15</f>
        <v>2.3680952212683541</v>
      </c>
      <c r="D11">
        <f>C11/B11</f>
        <v>5.0007610350219114</v>
      </c>
    </row>
    <row r="12" spans="1:6" x14ac:dyDescent="0.35">
      <c r="A12" t="s">
        <v>60</v>
      </c>
      <c r="B12">
        <f>EIGENVECTOR!B14</f>
        <v>0.20847130047761858</v>
      </c>
      <c r="C12">
        <f>'AHP PAIRWISE'!B3*$B$11+'AHP PAIRWISE'!C3*$B$12+'AHP PAIRWISE'!D3*$B$13+'AHP PAIRWISE'!E3*$B$14+'AHP PAIRWISE'!F3*$B$15</f>
        <v>1.0425078739709221</v>
      </c>
      <c r="D12">
        <f>C12/B12</f>
        <v>5.0007261027416359</v>
      </c>
    </row>
    <row r="13" spans="1:6" x14ac:dyDescent="0.35">
      <c r="A13" t="s">
        <v>61</v>
      </c>
      <c r="B13">
        <f>EIGENVECTOR!B15</f>
        <v>0.15621469104281613</v>
      </c>
      <c r="C13">
        <f>'AHP PAIRWISE'!B4*$B$11+'AHP PAIRWISE'!C4*$B$12+'AHP PAIRWISE'!D4*$B$13+'AHP PAIRWISE'!E4*$B$14+'AHP PAIRWISE'!F4*$B$15</f>
        <v>0.78119140352622385</v>
      </c>
      <c r="D13">
        <f>C13/B13</f>
        <v>5.0007550398195963</v>
      </c>
    </row>
    <row r="14" spans="1:6" x14ac:dyDescent="0.35">
      <c r="A14" t="s">
        <v>62</v>
      </c>
      <c r="B14">
        <f>EIGENVECTOR!B16</f>
        <v>0.10434934234044142</v>
      </c>
      <c r="C14">
        <f>'AHP PAIRWISE'!B5*$B$11+'AHP PAIRWISE'!C5*$B$12+'AHP PAIRWISE'!D5*$B$13+'AHP PAIRWISE'!E5*$B$14+'AHP PAIRWISE'!F5*$B$15</f>
        <v>0.52173102748653921</v>
      </c>
      <c r="D14">
        <f>C14/B14</f>
        <v>4.9998496951172271</v>
      </c>
    </row>
    <row r="15" spans="1:6" x14ac:dyDescent="0.35">
      <c r="A15" t="s">
        <v>63</v>
      </c>
      <c r="B15">
        <f>EIGENVECTOR!B17</f>
        <v>5.7417699050747929E-2</v>
      </c>
      <c r="C15">
        <f>'AHP PAIRWISE'!B6*$B$11+'AHP PAIRWISE'!C6*$B$12+'AHP PAIRWISE'!D6*$B$13+'AHP PAIRWISE'!E6*$B$14+'AHP PAIRWISE'!F6*$B$15</f>
        <v>0.2869684544589699</v>
      </c>
      <c r="D15">
        <f>C15/B15</f>
        <v>4.9979093416010336</v>
      </c>
    </row>
    <row r="16" spans="1:6" x14ac:dyDescent="0.35">
      <c r="D16">
        <f>AVERAGE(D11:D15)</f>
        <v>5.0000002428602803</v>
      </c>
    </row>
    <row r="20" spans="1:2" x14ac:dyDescent="0.35">
      <c r="A20" s="4" t="s">
        <v>70</v>
      </c>
      <c r="B20" s="4" t="s">
        <v>71</v>
      </c>
    </row>
    <row r="21" spans="1:2" x14ac:dyDescent="0.35">
      <c r="A21" t="s">
        <v>72</v>
      </c>
      <c r="B21">
        <v>5</v>
      </c>
    </row>
    <row r="22" spans="1:2" x14ac:dyDescent="0.35">
      <c r="A22" t="s">
        <v>73</v>
      </c>
      <c r="B22">
        <f>AVERAGE(D11:D15)</f>
        <v>5.0000002428602803</v>
      </c>
    </row>
    <row r="23" spans="1:2" x14ac:dyDescent="0.35">
      <c r="A23" t="s">
        <v>74</v>
      </c>
      <c r="B23">
        <f>(B22-B21)/(B21-1)</f>
        <v>6.0715070082650868E-8</v>
      </c>
    </row>
    <row r="24" spans="1:2" x14ac:dyDescent="0.35">
      <c r="A24" t="s">
        <v>75</v>
      </c>
      <c r="B24">
        <v>1.1200000000000001</v>
      </c>
    </row>
    <row r="25" spans="1:2" x14ac:dyDescent="0.35">
      <c r="A25" t="s">
        <v>76</v>
      </c>
      <c r="B25">
        <f>B23/B24</f>
        <v>5.4209884002366845E-8</v>
      </c>
    </row>
    <row r="26" spans="1:2" x14ac:dyDescent="0.35">
      <c r="A26" t="s">
        <v>77</v>
      </c>
      <c r="B26" t="str">
        <f>IF(ABS(B25)&lt;=0.1,"CONSISTENT","INCONSISTENT")</f>
        <v>CONSISTENT</v>
      </c>
    </row>
  </sheetData>
  <mergeCells count="1">
    <mergeCell ref="A9:D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zoomScaleNormal="100" workbookViewId="0">
      <selection activeCell="W15" sqref="W15"/>
    </sheetView>
  </sheetViews>
  <sheetFormatPr defaultColWidth="8.6328125" defaultRowHeight="15" customHeight="1" x14ac:dyDescent="0.35"/>
  <cols>
    <col min="1" max="1" width="28.6328125" customWidth="1"/>
    <col min="2" max="2" width="13.26953125" customWidth="1"/>
    <col min="3" max="3" width="13.81640625" customWidth="1"/>
    <col min="4" max="4" width="14.6328125" customWidth="1"/>
  </cols>
  <sheetData>
    <row r="1" spans="1:5" x14ac:dyDescent="0.35">
      <c r="A1" s="4" t="s">
        <v>16</v>
      </c>
      <c r="B1" s="4" t="s">
        <v>78</v>
      </c>
      <c r="C1" s="4" t="s">
        <v>79</v>
      </c>
      <c r="D1" s="4" t="s">
        <v>80</v>
      </c>
    </row>
    <row r="2" spans="1:5" x14ac:dyDescent="0.35">
      <c r="A2" t="s">
        <v>32</v>
      </c>
      <c r="B2">
        <f>CHATBOT_INPUT!C2</f>
        <v>5</v>
      </c>
      <c r="C2">
        <f>CHATBOT_INPUT!D2</f>
        <v>7</v>
      </c>
      <c r="D2">
        <f>CHATBOT_INPUT!E2</f>
        <v>10</v>
      </c>
      <c r="E2">
        <f>CHATBOT_INPUT!F2</f>
        <v>0</v>
      </c>
    </row>
    <row r="3" spans="1:5" x14ac:dyDescent="0.35">
      <c r="A3" t="s">
        <v>33</v>
      </c>
      <c r="B3">
        <f>CHATBOT_INPUT!C3</f>
        <v>3</v>
      </c>
      <c r="C3">
        <f>CHATBOT_INPUT!D3</f>
        <v>5</v>
      </c>
      <c r="D3">
        <f>CHATBOT_INPUT!E3</f>
        <v>5</v>
      </c>
      <c r="E3">
        <f>CHATBOT_INPUT!F3</f>
        <v>0</v>
      </c>
    </row>
    <row r="4" spans="1:5" x14ac:dyDescent="0.35">
      <c r="A4" t="s">
        <v>34</v>
      </c>
      <c r="B4">
        <f>CHATBOT_INPUT!C4</f>
        <v>10</v>
      </c>
      <c r="C4">
        <f>CHATBOT_INPUT!D4</f>
        <v>5</v>
      </c>
      <c r="D4">
        <f>CHATBOT_INPUT!E4</f>
        <v>5</v>
      </c>
      <c r="E4">
        <f>CHATBOT_INPUT!F4</f>
        <v>0</v>
      </c>
    </row>
    <row r="5" spans="1:5" x14ac:dyDescent="0.35">
      <c r="A5" t="s">
        <v>35</v>
      </c>
      <c r="B5">
        <f>CHATBOT_INPUT!C5</f>
        <v>10</v>
      </c>
      <c r="C5">
        <f>CHATBOT_INPUT!D5</f>
        <v>10</v>
      </c>
      <c r="D5">
        <f>CHATBOT_INPUT!E5</f>
        <v>10</v>
      </c>
      <c r="E5">
        <f>CHATBOT_INPUT!F5</f>
        <v>0</v>
      </c>
    </row>
    <row r="6" spans="1:5" x14ac:dyDescent="0.35">
      <c r="A6" t="s">
        <v>36</v>
      </c>
      <c r="B6">
        <f>CHATBOT_INPUT!C6</f>
        <v>10</v>
      </c>
      <c r="C6">
        <f>CHATBOT_INPUT!D6</f>
        <v>3</v>
      </c>
      <c r="D6">
        <f>CHATBOT_INPUT!E6</f>
        <v>4</v>
      </c>
      <c r="E6">
        <f>CHATBOT_INPUT!F6</f>
        <v>0</v>
      </c>
    </row>
    <row r="7" spans="1:5" x14ac:dyDescent="0.35">
      <c r="A7" t="s">
        <v>37</v>
      </c>
      <c r="B7">
        <f>CHATBOT_INPUT!C7</f>
        <v>10</v>
      </c>
      <c r="C7">
        <f>CHATBOT_INPUT!D7</f>
        <v>10</v>
      </c>
      <c r="D7">
        <f>CHATBOT_INPUT!E7</f>
        <v>10</v>
      </c>
      <c r="E7">
        <f>CHATBOT_INPUT!F7</f>
        <v>0</v>
      </c>
    </row>
    <row r="8" spans="1:5" x14ac:dyDescent="0.35">
      <c r="A8" t="s">
        <v>38</v>
      </c>
      <c r="B8">
        <f>CHATBOT_INPUT!C8</f>
        <v>3</v>
      </c>
      <c r="C8">
        <f>CHATBOT_INPUT!D8</f>
        <v>5</v>
      </c>
      <c r="D8">
        <f>CHATBOT_INPUT!E8</f>
        <v>7</v>
      </c>
      <c r="E8">
        <f>CHATBOT_INPUT!F8</f>
        <v>0</v>
      </c>
    </row>
    <row r="9" spans="1:5" x14ac:dyDescent="0.35">
      <c r="A9" t="s">
        <v>39</v>
      </c>
      <c r="B9">
        <f>CHATBOT_INPUT!C9</f>
        <v>3</v>
      </c>
      <c r="C9">
        <f>CHATBOT_INPUT!D9</f>
        <v>5</v>
      </c>
      <c r="D9">
        <f>CHATBOT_INPUT!E9</f>
        <v>7</v>
      </c>
      <c r="E9">
        <f>CHATBOT_INPUT!F9</f>
        <v>0</v>
      </c>
    </row>
    <row r="10" spans="1:5" x14ac:dyDescent="0.35">
      <c r="A10" t="s">
        <v>40</v>
      </c>
      <c r="B10">
        <f>CHATBOT_INPUT!C10</f>
        <v>3</v>
      </c>
      <c r="C10">
        <f>CHATBOT_INPUT!D10</f>
        <v>8</v>
      </c>
      <c r="D10">
        <f>CHATBOT_INPUT!E10</f>
        <v>8</v>
      </c>
      <c r="E10">
        <f>CHATBOT_INPUT!F10</f>
        <v>0</v>
      </c>
    </row>
    <row r="11" spans="1:5" x14ac:dyDescent="0.35">
      <c r="A11" t="s">
        <v>41</v>
      </c>
      <c r="B11">
        <f>CHATBOT_INPUT!C11</f>
        <v>3</v>
      </c>
      <c r="C11">
        <f>CHATBOT_INPUT!D11</f>
        <v>10</v>
      </c>
      <c r="D11">
        <f>CHATBOT_INPUT!E11</f>
        <v>5</v>
      </c>
      <c r="E11">
        <f>CHATBOT_INPUT!F11</f>
        <v>0</v>
      </c>
    </row>
    <row r="12" spans="1:5" x14ac:dyDescent="0.35">
      <c r="A12" t="s">
        <v>42</v>
      </c>
      <c r="B12">
        <f>CHATBOT_INPUT!C12</f>
        <v>10</v>
      </c>
      <c r="C12">
        <f>CHATBOT_INPUT!D12</f>
        <v>6</v>
      </c>
      <c r="D12">
        <f>CHATBOT_INPUT!E12</f>
        <v>6</v>
      </c>
      <c r="E12">
        <f>CHATBOT_INPUT!F12</f>
        <v>0</v>
      </c>
    </row>
    <row r="13" spans="1:5" x14ac:dyDescent="0.35">
      <c r="A13" t="s">
        <v>43</v>
      </c>
      <c r="B13">
        <f>CHATBOT_INPUT!C13</f>
        <v>6</v>
      </c>
      <c r="C13">
        <f>CHATBOT_INPUT!D13</f>
        <v>8</v>
      </c>
      <c r="D13">
        <f>CHATBOT_INPUT!E13</f>
        <v>8</v>
      </c>
      <c r="E13">
        <f>CHATBOT_INPUT!F13</f>
        <v>0</v>
      </c>
    </row>
    <row r="14" spans="1:5" x14ac:dyDescent="0.35">
      <c r="A14" t="s">
        <v>44</v>
      </c>
      <c r="B14">
        <f>CHATBOT_INPUT!C14</f>
        <v>8</v>
      </c>
      <c r="C14">
        <f>CHATBOT_INPUT!D14</f>
        <v>6</v>
      </c>
      <c r="D14">
        <f>CHATBOT_INPUT!E14</f>
        <v>3</v>
      </c>
      <c r="E14">
        <f>CHATBOT_INPUT!F14</f>
        <v>0</v>
      </c>
    </row>
    <row r="15" spans="1:5" x14ac:dyDescent="0.35">
      <c r="A15" t="s">
        <v>45</v>
      </c>
      <c r="B15">
        <f>CHATBOT_INPUT!C15</f>
        <v>8</v>
      </c>
      <c r="C15">
        <f>CHATBOT_INPUT!D15</f>
        <v>8</v>
      </c>
      <c r="D15">
        <f>CHATBOT_INPUT!E15</f>
        <v>3</v>
      </c>
      <c r="E15">
        <f>CHATBOT_INPUT!F15</f>
        <v>0</v>
      </c>
    </row>
    <row r="16" spans="1:5" x14ac:dyDescent="0.35">
      <c r="A16" t="s">
        <v>46</v>
      </c>
      <c r="B16">
        <f>CHATBOT_INPUT!C16</f>
        <v>8</v>
      </c>
      <c r="C16">
        <f>CHATBOT_INPUT!D16</f>
        <v>6</v>
      </c>
      <c r="D16">
        <f>CHATBOT_INPUT!E16</f>
        <v>3</v>
      </c>
      <c r="E16">
        <f>CHATBOT_INPUT!F16</f>
        <v>0</v>
      </c>
    </row>
    <row r="17" spans="1:5" x14ac:dyDescent="0.35">
      <c r="A17" t="s">
        <v>47</v>
      </c>
      <c r="B17">
        <f>CHATBOT_INPUT!C17</f>
        <v>5</v>
      </c>
      <c r="C17">
        <f>CHATBOT_INPUT!D17</f>
        <v>5</v>
      </c>
      <c r="D17">
        <f>CHATBOT_INPUT!E17</f>
        <v>5</v>
      </c>
      <c r="E17">
        <f>CHATBOT_INPUT!F17</f>
        <v>0</v>
      </c>
    </row>
    <row r="18" spans="1:5" x14ac:dyDescent="0.35">
      <c r="A18" t="s">
        <v>48</v>
      </c>
      <c r="B18">
        <f>CHATBOT_INPUT!C18</f>
        <v>1</v>
      </c>
      <c r="C18">
        <f>CHATBOT_INPUT!D18</f>
        <v>4</v>
      </c>
      <c r="D18">
        <f>CHATBOT_INPUT!E18</f>
        <v>10</v>
      </c>
      <c r="E18">
        <f>CHATBOT_INPUT!F18</f>
        <v>0</v>
      </c>
    </row>
    <row r="19" spans="1:5" x14ac:dyDescent="0.35">
      <c r="A19" t="s">
        <v>49</v>
      </c>
      <c r="B19">
        <f>CHATBOT_INPUT!C19</f>
        <v>3</v>
      </c>
      <c r="C19">
        <f>CHATBOT_INPUT!D19</f>
        <v>10</v>
      </c>
      <c r="D19">
        <f>CHATBOT_INPUT!E19</f>
        <v>7</v>
      </c>
      <c r="E19">
        <f>CHATBOT_INPUT!F19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topLeftCell="E2" zoomScaleNormal="100" workbookViewId="0">
      <selection activeCell="F14" sqref="F14"/>
    </sheetView>
  </sheetViews>
  <sheetFormatPr defaultColWidth="8.6328125" defaultRowHeight="15" customHeight="1" x14ac:dyDescent="0.35"/>
  <cols>
    <col min="1" max="1" width="27" customWidth="1"/>
    <col min="2" max="2" width="12.81640625" customWidth="1"/>
    <col min="3" max="3" width="14.36328125" customWidth="1"/>
    <col min="4" max="4" width="13.81640625" customWidth="1"/>
    <col min="5" max="5" width="14.81640625" customWidth="1"/>
    <col min="6" max="6" width="19.08984375" customWidth="1"/>
    <col min="7" max="7" width="13.54296875" customWidth="1"/>
    <col min="8" max="8" width="16" customWidth="1"/>
  </cols>
  <sheetData>
    <row r="1" spans="1:8" x14ac:dyDescent="0.35">
      <c r="A1" s="4" t="s">
        <v>16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</row>
    <row r="2" spans="1:8" x14ac:dyDescent="0.35">
      <c r="A2" t="s">
        <v>32</v>
      </c>
      <c r="B2">
        <f>'DECISION MATRIX'!B2</f>
        <v>5</v>
      </c>
      <c r="C2">
        <f>'DECISION MATRIX'!C2</f>
        <v>7</v>
      </c>
      <c r="D2">
        <f>'DECISION MATRIX'!D2</f>
        <v>10</v>
      </c>
      <c r="E2">
        <f>SQRT(B2^2+E3+C2^2+D2^2)</f>
        <v>13.478914857950125</v>
      </c>
      <c r="F2">
        <f t="shared" ref="F2:H5" si="0">B2/$E2</f>
        <v>0.37094974281634424</v>
      </c>
      <c r="G2">
        <f t="shared" si="0"/>
        <v>0.51932963994288195</v>
      </c>
      <c r="H2">
        <f t="shared" si="0"/>
        <v>0.74189948563268848</v>
      </c>
    </row>
    <row r="3" spans="1:8" x14ac:dyDescent="0.35">
      <c r="A3" t="s">
        <v>33</v>
      </c>
      <c r="B3">
        <f>'DECISION MATRIX'!B3</f>
        <v>3</v>
      </c>
      <c r="C3">
        <f>'DECISION MATRIX'!C3</f>
        <v>5</v>
      </c>
      <c r="D3">
        <f>'DECISION MATRIX'!D3</f>
        <v>5</v>
      </c>
      <c r="E3">
        <f t="shared" ref="E3:E19" si="1">SQRT(B3^2+C3^2+D3^2)</f>
        <v>7.6811457478686078</v>
      </c>
      <c r="F3">
        <f t="shared" si="0"/>
        <v>0.39056673294247163</v>
      </c>
      <c r="G3">
        <f t="shared" si="0"/>
        <v>0.6509445549041194</v>
      </c>
      <c r="H3">
        <f t="shared" si="0"/>
        <v>0.6509445549041194</v>
      </c>
    </row>
    <row r="4" spans="1:8" x14ac:dyDescent="0.35">
      <c r="A4" t="s">
        <v>34</v>
      </c>
      <c r="B4">
        <f>'DECISION MATRIX'!B4</f>
        <v>10</v>
      </c>
      <c r="C4">
        <f>'DECISION MATRIX'!C4</f>
        <v>5</v>
      </c>
      <c r="D4">
        <f>'DECISION MATRIX'!D4</f>
        <v>5</v>
      </c>
      <c r="E4">
        <f t="shared" si="1"/>
        <v>12.24744871391589</v>
      </c>
      <c r="F4">
        <f t="shared" si="0"/>
        <v>0.81649658092772603</v>
      </c>
      <c r="G4">
        <f t="shared" si="0"/>
        <v>0.40824829046386302</v>
      </c>
      <c r="H4">
        <f t="shared" si="0"/>
        <v>0.40824829046386302</v>
      </c>
    </row>
    <row r="5" spans="1:8" x14ac:dyDescent="0.35">
      <c r="A5" t="s">
        <v>35</v>
      </c>
      <c r="B5">
        <f>'DECISION MATRIX'!B5</f>
        <v>10</v>
      </c>
      <c r="C5">
        <f>'DECISION MATRIX'!C5</f>
        <v>10</v>
      </c>
      <c r="D5">
        <f>'DECISION MATRIX'!D5</f>
        <v>10</v>
      </c>
      <c r="E5">
        <f t="shared" si="1"/>
        <v>17.320508075688775</v>
      </c>
      <c r="F5">
        <f t="shared" si="0"/>
        <v>0.57735026918962573</v>
      </c>
      <c r="G5">
        <f t="shared" si="0"/>
        <v>0.57735026918962573</v>
      </c>
      <c r="H5">
        <f t="shared" si="0"/>
        <v>0.57735026918962573</v>
      </c>
    </row>
    <row r="6" spans="1:8" x14ac:dyDescent="0.35">
      <c r="A6" t="s">
        <v>36</v>
      </c>
      <c r="B6">
        <f>'DECISION MATRIX'!B6</f>
        <v>10</v>
      </c>
      <c r="C6">
        <f>'DECISION MATRIX'!C6</f>
        <v>3</v>
      </c>
      <c r="D6">
        <f>'DECISION MATRIX'!D6</f>
        <v>4</v>
      </c>
      <c r="E6">
        <f t="shared" si="1"/>
        <v>11.180339887498949</v>
      </c>
      <c r="F6">
        <f>C6/$E6</f>
        <v>0.26832815729997472</v>
      </c>
      <c r="G6">
        <f t="shared" ref="G6:G19" si="2">C6/$E6</f>
        <v>0.26832815729997472</v>
      </c>
      <c r="H6">
        <f t="shared" ref="H6:H19" si="3">D6/$E6</f>
        <v>0.35777087639996635</v>
      </c>
    </row>
    <row r="7" spans="1:8" x14ac:dyDescent="0.35">
      <c r="A7" t="s">
        <v>37</v>
      </c>
      <c r="B7">
        <f>'DECISION MATRIX'!B7</f>
        <v>10</v>
      </c>
      <c r="C7">
        <f>'DECISION MATRIX'!C7</f>
        <v>10</v>
      </c>
      <c r="D7">
        <f>'DECISION MATRIX'!D7</f>
        <v>10</v>
      </c>
      <c r="E7">
        <f t="shared" si="1"/>
        <v>17.320508075688775</v>
      </c>
      <c r="F7">
        <f t="shared" ref="F7:F19" si="4">B7/$E7</f>
        <v>0.57735026918962573</v>
      </c>
      <c r="G7">
        <f t="shared" si="2"/>
        <v>0.57735026918962573</v>
      </c>
      <c r="H7">
        <f t="shared" si="3"/>
        <v>0.57735026918962573</v>
      </c>
    </row>
    <row r="8" spans="1:8" x14ac:dyDescent="0.35">
      <c r="A8" t="s">
        <v>38</v>
      </c>
      <c r="B8">
        <f>'DECISION MATRIX'!B8</f>
        <v>3</v>
      </c>
      <c r="C8">
        <f>'DECISION MATRIX'!C8</f>
        <v>5</v>
      </c>
      <c r="D8">
        <f>'DECISION MATRIX'!D8</f>
        <v>7</v>
      </c>
      <c r="E8">
        <f t="shared" si="1"/>
        <v>9.1104335791442992</v>
      </c>
      <c r="F8">
        <f t="shared" si="4"/>
        <v>0.32929277996907103</v>
      </c>
      <c r="G8">
        <f t="shared" si="2"/>
        <v>0.54882129994845175</v>
      </c>
      <c r="H8">
        <f t="shared" si="3"/>
        <v>0.76834981992783236</v>
      </c>
    </row>
    <row r="9" spans="1:8" x14ac:dyDescent="0.35">
      <c r="A9" t="s">
        <v>39</v>
      </c>
      <c r="B9">
        <f>'DECISION MATRIX'!B9</f>
        <v>3</v>
      </c>
      <c r="C9">
        <f>'DECISION MATRIX'!C9</f>
        <v>5</v>
      </c>
      <c r="D9">
        <f>'DECISION MATRIX'!D9</f>
        <v>7</v>
      </c>
      <c r="E9">
        <f t="shared" si="1"/>
        <v>9.1104335791442992</v>
      </c>
      <c r="F9">
        <f t="shared" si="4"/>
        <v>0.32929277996907103</v>
      </c>
      <c r="G9">
        <f t="shared" si="2"/>
        <v>0.54882129994845175</v>
      </c>
      <c r="H9">
        <f t="shared" si="3"/>
        <v>0.76834981992783236</v>
      </c>
    </row>
    <row r="10" spans="1:8" x14ac:dyDescent="0.35">
      <c r="A10" t="s">
        <v>40</v>
      </c>
      <c r="B10">
        <f>'DECISION MATRIX'!B10</f>
        <v>3</v>
      </c>
      <c r="C10">
        <f>'DECISION MATRIX'!C10</f>
        <v>8</v>
      </c>
      <c r="D10">
        <f>'DECISION MATRIX'!D10</f>
        <v>8</v>
      </c>
      <c r="E10">
        <f t="shared" si="1"/>
        <v>11.704699910719626</v>
      </c>
      <c r="F10">
        <f t="shared" si="4"/>
        <v>0.25630729731502827</v>
      </c>
      <c r="G10">
        <f t="shared" si="2"/>
        <v>0.68348612617340876</v>
      </c>
      <c r="H10">
        <f t="shared" si="3"/>
        <v>0.68348612617340876</v>
      </c>
    </row>
    <row r="11" spans="1:8" x14ac:dyDescent="0.35">
      <c r="A11" t="s">
        <v>41</v>
      </c>
      <c r="B11">
        <f>'DECISION MATRIX'!B11</f>
        <v>3</v>
      </c>
      <c r="C11">
        <f>'DECISION MATRIX'!C11</f>
        <v>10</v>
      </c>
      <c r="D11">
        <f>'DECISION MATRIX'!D11</f>
        <v>5</v>
      </c>
      <c r="E11">
        <f t="shared" si="1"/>
        <v>11.575836902790225</v>
      </c>
      <c r="F11">
        <f t="shared" si="4"/>
        <v>0.25916052767440806</v>
      </c>
      <c r="G11">
        <f t="shared" si="2"/>
        <v>0.86386842558136012</v>
      </c>
      <c r="H11">
        <f t="shared" si="3"/>
        <v>0.43193421279068006</v>
      </c>
    </row>
    <row r="12" spans="1:8" x14ac:dyDescent="0.35">
      <c r="A12" t="s">
        <v>42</v>
      </c>
      <c r="B12">
        <f>'DECISION MATRIX'!B12</f>
        <v>10</v>
      </c>
      <c r="C12">
        <f>'DECISION MATRIX'!C12</f>
        <v>6</v>
      </c>
      <c r="D12">
        <f>'DECISION MATRIX'!D12</f>
        <v>6</v>
      </c>
      <c r="E12">
        <f t="shared" si="1"/>
        <v>13.114877048604001</v>
      </c>
      <c r="F12">
        <f t="shared" si="4"/>
        <v>0.76249285166302339</v>
      </c>
      <c r="G12">
        <f t="shared" si="2"/>
        <v>0.457495710997814</v>
      </c>
      <c r="H12">
        <f t="shared" si="3"/>
        <v>0.457495710997814</v>
      </c>
    </row>
    <row r="13" spans="1:8" x14ac:dyDescent="0.35">
      <c r="A13" t="s">
        <v>43</v>
      </c>
      <c r="B13">
        <f>'DECISION MATRIX'!B13</f>
        <v>6</v>
      </c>
      <c r="C13">
        <f>'DECISION MATRIX'!C13</f>
        <v>8</v>
      </c>
      <c r="D13">
        <f>'DECISION MATRIX'!D13</f>
        <v>8</v>
      </c>
      <c r="E13">
        <f t="shared" si="1"/>
        <v>12.806248474865697</v>
      </c>
      <c r="F13">
        <f t="shared" si="4"/>
        <v>0.46852128566581819</v>
      </c>
      <c r="G13">
        <f t="shared" si="2"/>
        <v>0.62469504755442429</v>
      </c>
      <c r="H13">
        <f t="shared" si="3"/>
        <v>0.62469504755442429</v>
      </c>
    </row>
    <row r="14" spans="1:8" x14ac:dyDescent="0.35">
      <c r="A14" t="s">
        <v>44</v>
      </c>
      <c r="B14">
        <f>'DECISION MATRIX'!B14</f>
        <v>8</v>
      </c>
      <c r="C14">
        <f>'DECISION MATRIX'!C14</f>
        <v>6</v>
      </c>
      <c r="D14">
        <f>'DECISION MATRIX'!D14</f>
        <v>3</v>
      </c>
      <c r="E14">
        <f t="shared" si="1"/>
        <v>10.440306508910551</v>
      </c>
      <c r="F14">
        <f t="shared" si="4"/>
        <v>0.7662610281769211</v>
      </c>
      <c r="G14">
        <f t="shared" si="2"/>
        <v>0.57469577113269077</v>
      </c>
      <c r="H14">
        <f t="shared" si="3"/>
        <v>0.28734788556634538</v>
      </c>
    </row>
    <row r="15" spans="1:8" x14ac:dyDescent="0.35">
      <c r="A15" t="s">
        <v>45</v>
      </c>
      <c r="B15">
        <f>'DECISION MATRIX'!B15</f>
        <v>8</v>
      </c>
      <c r="C15">
        <f>'DECISION MATRIX'!C15</f>
        <v>8</v>
      </c>
      <c r="D15">
        <f>'DECISION MATRIX'!D15</f>
        <v>3</v>
      </c>
      <c r="E15">
        <f t="shared" si="1"/>
        <v>11.704699910719626</v>
      </c>
      <c r="F15">
        <f t="shared" si="4"/>
        <v>0.68348612617340876</v>
      </c>
      <c r="G15">
        <f t="shared" si="2"/>
        <v>0.68348612617340876</v>
      </c>
      <c r="H15">
        <f t="shared" si="3"/>
        <v>0.25630729731502827</v>
      </c>
    </row>
    <row r="16" spans="1:8" x14ac:dyDescent="0.35">
      <c r="A16" t="s">
        <v>46</v>
      </c>
      <c r="B16">
        <f>'DECISION MATRIX'!B16</f>
        <v>8</v>
      </c>
      <c r="C16">
        <f>'DECISION MATRIX'!C16</f>
        <v>6</v>
      </c>
      <c r="D16">
        <f>'DECISION MATRIX'!D16</f>
        <v>3</v>
      </c>
      <c r="E16">
        <f t="shared" si="1"/>
        <v>10.440306508910551</v>
      </c>
      <c r="F16">
        <f t="shared" si="4"/>
        <v>0.7662610281769211</v>
      </c>
      <c r="G16">
        <f t="shared" si="2"/>
        <v>0.57469577113269077</v>
      </c>
      <c r="H16">
        <f t="shared" si="3"/>
        <v>0.28734788556634538</v>
      </c>
    </row>
    <row r="17" spans="1:8" x14ac:dyDescent="0.35">
      <c r="A17" t="s">
        <v>47</v>
      </c>
      <c r="B17">
        <f>'DECISION MATRIX'!B17</f>
        <v>5</v>
      </c>
      <c r="C17">
        <f>'DECISION MATRIX'!C17</f>
        <v>5</v>
      </c>
      <c r="D17">
        <f>'DECISION MATRIX'!D17</f>
        <v>5</v>
      </c>
      <c r="E17">
        <f t="shared" si="1"/>
        <v>8.6602540378443873</v>
      </c>
      <c r="F17">
        <f t="shared" si="4"/>
        <v>0.57735026918962573</v>
      </c>
      <c r="G17">
        <f t="shared" si="2"/>
        <v>0.57735026918962573</v>
      </c>
      <c r="H17">
        <f t="shared" si="3"/>
        <v>0.57735026918962573</v>
      </c>
    </row>
    <row r="18" spans="1:8" x14ac:dyDescent="0.35">
      <c r="A18" t="s">
        <v>48</v>
      </c>
      <c r="B18">
        <f>'DECISION MATRIX'!B18</f>
        <v>1</v>
      </c>
      <c r="C18">
        <f>'DECISION MATRIX'!C18</f>
        <v>4</v>
      </c>
      <c r="D18">
        <f>'DECISION MATRIX'!D18</f>
        <v>10</v>
      </c>
      <c r="E18">
        <f t="shared" si="1"/>
        <v>10.816653826391969</v>
      </c>
      <c r="F18">
        <f t="shared" si="4"/>
        <v>9.2450032704204849E-2</v>
      </c>
      <c r="G18">
        <f t="shared" si="2"/>
        <v>0.36980013081681939</v>
      </c>
      <c r="H18">
        <f t="shared" si="3"/>
        <v>0.92450032704204843</v>
      </c>
    </row>
    <row r="19" spans="1:8" x14ac:dyDescent="0.35">
      <c r="A19" t="s">
        <v>49</v>
      </c>
      <c r="B19">
        <f>'DECISION MATRIX'!B19</f>
        <v>3</v>
      </c>
      <c r="C19">
        <f>'DECISION MATRIX'!C19</f>
        <v>10</v>
      </c>
      <c r="D19">
        <f>'DECISION MATRIX'!D19</f>
        <v>7</v>
      </c>
      <c r="E19">
        <f t="shared" si="1"/>
        <v>12.569805089976535</v>
      </c>
      <c r="F19">
        <f t="shared" si="4"/>
        <v>0.23866718525271902</v>
      </c>
      <c r="G19">
        <f t="shared" si="2"/>
        <v>0.79555728417573002</v>
      </c>
      <c r="H19">
        <f t="shared" si="3"/>
        <v>0.556890098923011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zoomScaleNormal="100" workbookViewId="0">
      <selection activeCell="F14" sqref="F14"/>
    </sheetView>
  </sheetViews>
  <sheetFormatPr defaultColWidth="8.6328125" defaultRowHeight="15" customHeight="1" x14ac:dyDescent="0.35"/>
  <cols>
    <col min="1" max="2" width="25.54296875" customWidth="1"/>
    <col min="3" max="3" width="15.90625" customWidth="1"/>
    <col min="4" max="4" width="16.54296875" customWidth="1"/>
    <col min="5" max="5" width="14.36328125" customWidth="1"/>
    <col min="6" max="6" width="13.81640625" customWidth="1"/>
    <col min="7" max="7" width="12.54296875" customWidth="1"/>
    <col min="8" max="8" width="14.36328125" customWidth="1"/>
  </cols>
  <sheetData>
    <row r="1" spans="1:8" x14ac:dyDescent="0.35">
      <c r="A1" s="4" t="s">
        <v>16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</row>
    <row r="2" spans="1:8" x14ac:dyDescent="0.35">
      <c r="A2" t="s">
        <v>32</v>
      </c>
      <c r="B2">
        <v>0.47354600000000002</v>
      </c>
      <c r="C2">
        <f>'NORMALIZED DECISION MATRIX'!F2</f>
        <v>0.37094974281634424</v>
      </c>
      <c r="D2">
        <f>'NORMALIZED DECISION MATRIX'!G2</f>
        <v>0.51932963994288195</v>
      </c>
      <c r="E2">
        <f>'NORMALIZED DECISION MATRIX'!H2</f>
        <v>0.74189948563268848</v>
      </c>
      <c r="F2">
        <f>B2*C2</f>
        <v>0.17566176691170857</v>
      </c>
      <c r="G2">
        <f>B2*D2</f>
        <v>0.24592647367639198</v>
      </c>
      <c r="H2">
        <f>B2*E2</f>
        <v>0.35132353382341713</v>
      </c>
    </row>
    <row r="3" spans="1:8" x14ac:dyDescent="0.35">
      <c r="A3" t="s">
        <v>33</v>
      </c>
      <c r="B3">
        <v>0.47354600000000002</v>
      </c>
      <c r="C3">
        <f>'NORMALIZED DECISION MATRIX'!F3</f>
        <v>0.39056673294247163</v>
      </c>
      <c r="D3">
        <f>'NORMALIZED DECISION MATRIX'!G3</f>
        <v>0.6509445549041194</v>
      </c>
      <c r="E3">
        <f>'NORMALIZED DECISION MATRIX'!H3</f>
        <v>0.6509445549041194</v>
      </c>
      <c r="F3">
        <f>B3*C3</f>
        <v>0.18495131411797569</v>
      </c>
      <c r="G3">
        <f>B3*D3</f>
        <v>0.30825219019662614</v>
      </c>
      <c r="H3">
        <f>B3*E3</f>
        <v>0.30825219019662614</v>
      </c>
    </row>
    <row r="4" spans="1:8" x14ac:dyDescent="0.35">
      <c r="A4" t="s">
        <v>34</v>
      </c>
      <c r="B4">
        <v>0.47354600000000002</v>
      </c>
      <c r="C4">
        <f>'NORMALIZED DECISION MATRIX'!F4</f>
        <v>0.81649658092772603</v>
      </c>
      <c r="D4">
        <f>'NORMALIZED DECISION MATRIX'!G4</f>
        <v>0.40824829046386302</v>
      </c>
      <c r="E4">
        <f>'NORMALIZED DECISION MATRIX'!H4</f>
        <v>0.40824829046386302</v>
      </c>
      <c r="F4">
        <f>B4*C4</f>
        <v>0.38664868991200096</v>
      </c>
      <c r="G4">
        <f>B4*D4</f>
        <v>0.19332434495600048</v>
      </c>
      <c r="H4">
        <f>B4*E4</f>
        <v>0.19332434495600048</v>
      </c>
    </row>
    <row r="5" spans="1:8" x14ac:dyDescent="0.35">
      <c r="A5" t="s">
        <v>35</v>
      </c>
      <c r="B5">
        <v>0.47354600000000002</v>
      </c>
      <c r="C5">
        <f>'NORMALIZED DECISION MATRIX'!F5</f>
        <v>0.57735026918962573</v>
      </c>
      <c r="D5">
        <f>'NORMALIZED DECISION MATRIX'!G5</f>
        <v>0.57735026918962573</v>
      </c>
      <c r="E5">
        <f>'NORMALIZED DECISION MATRIX'!H5</f>
        <v>0.57735026918962573</v>
      </c>
      <c r="F5">
        <f>B5*C5</f>
        <v>0.27340191057367053</v>
      </c>
      <c r="G5">
        <f>B5*D5</f>
        <v>0.27340191057367053</v>
      </c>
      <c r="H5">
        <f>B5*E5</f>
        <v>0.27340191057367053</v>
      </c>
    </row>
    <row r="6" spans="1:8" x14ac:dyDescent="0.35">
      <c r="A6" t="s">
        <v>36</v>
      </c>
      <c r="B6">
        <v>0.47354600000000002</v>
      </c>
      <c r="C6">
        <f>'NORMALIZED DECISION MATRIX'!F6</f>
        <v>0.26832815729997472</v>
      </c>
      <c r="D6">
        <f>'NORMALIZED DECISION MATRIX'!G6</f>
        <v>0.26832815729997472</v>
      </c>
      <c r="E6">
        <f>'NORMALIZED DECISION MATRIX'!H6</f>
        <v>0.35777087639996635</v>
      </c>
      <c r="F6">
        <f>B6*C6</f>
        <v>0.12706572557677384</v>
      </c>
      <c r="G6">
        <f>B6*D6</f>
        <v>0.12706572557677384</v>
      </c>
      <c r="H6">
        <f>B6*E6</f>
        <v>0.16942096743569848</v>
      </c>
    </row>
    <row r="8" spans="1:8" x14ac:dyDescent="0.35">
      <c r="A8" t="s">
        <v>37</v>
      </c>
      <c r="B8">
        <v>0.22260199999999999</v>
      </c>
      <c r="C8">
        <f>'NORMALIZED DECISION MATRIX'!F7</f>
        <v>0.57735026918962573</v>
      </c>
      <c r="D8">
        <f>'NORMALIZED DECISION MATRIX'!G7</f>
        <v>0.57735026918962573</v>
      </c>
      <c r="E8">
        <f>'NORMALIZED DECISION MATRIX'!H7</f>
        <v>0.57735026918962573</v>
      </c>
      <c r="F8">
        <f>B8*C8</f>
        <v>0.12851932462214907</v>
      </c>
      <c r="G8">
        <f>B8*D8</f>
        <v>0.12851932462214907</v>
      </c>
      <c r="H8">
        <f>B8*E8</f>
        <v>0.12851932462214907</v>
      </c>
    </row>
    <row r="9" spans="1:8" x14ac:dyDescent="0.35">
      <c r="A9" t="s">
        <v>38</v>
      </c>
      <c r="B9">
        <v>0.22260199999999999</v>
      </c>
      <c r="C9">
        <f>'NORMALIZED DECISION MATRIX'!F8</f>
        <v>0.32929277996907103</v>
      </c>
      <c r="D9">
        <f>'NORMALIZED DECISION MATRIX'!G8</f>
        <v>0.54882129994845175</v>
      </c>
      <c r="E9">
        <f>'NORMALIZED DECISION MATRIX'!H8</f>
        <v>0.76834981992783236</v>
      </c>
      <c r="F9">
        <f>B9*C9</f>
        <v>7.3301231406675146E-2</v>
      </c>
      <c r="G9">
        <f>B9*D9</f>
        <v>0.12216871901112525</v>
      </c>
      <c r="H9">
        <f>B9*E9</f>
        <v>0.17103620661557534</v>
      </c>
    </row>
    <row r="10" spans="1:8" x14ac:dyDescent="0.35">
      <c r="A10" t="s">
        <v>39</v>
      </c>
      <c r="B10">
        <v>0.22260199999999999</v>
      </c>
      <c r="C10">
        <f>'NORMALIZED DECISION MATRIX'!F9</f>
        <v>0.32929277996907103</v>
      </c>
      <c r="D10">
        <f>'NORMALIZED DECISION MATRIX'!G9</f>
        <v>0.54882129994845175</v>
      </c>
      <c r="E10">
        <f>'NORMALIZED DECISION MATRIX'!H9</f>
        <v>0.76834981992783236</v>
      </c>
      <c r="F10">
        <f>B10*C10</f>
        <v>7.3301231406675146E-2</v>
      </c>
      <c r="G10">
        <f>B10*D10</f>
        <v>0.12216871901112525</v>
      </c>
      <c r="H10">
        <f>B10*E10</f>
        <v>0.17103620661557534</v>
      </c>
    </row>
    <row r="12" spans="1:8" x14ac:dyDescent="0.35">
      <c r="A12" t="s">
        <v>40</v>
      </c>
      <c r="B12">
        <v>0.15621399999999999</v>
      </c>
      <c r="C12">
        <f>'NORMALIZED DECISION MATRIX'!F10</f>
        <v>0.25630729731502827</v>
      </c>
      <c r="D12">
        <f>'NORMALIZED DECISION MATRIX'!G10</f>
        <v>0.68348612617340876</v>
      </c>
      <c r="E12">
        <f>'NORMALIZED DECISION MATRIX'!H10</f>
        <v>0.68348612617340876</v>
      </c>
      <c r="F12">
        <f>B12*C12</f>
        <v>4.0038788142769823E-2</v>
      </c>
      <c r="G12">
        <f>B12*D12</f>
        <v>0.10677010171405286</v>
      </c>
      <c r="H12">
        <f>B12*E12</f>
        <v>0.10677010171405286</v>
      </c>
    </row>
    <row r="13" spans="1:8" x14ac:dyDescent="0.35">
      <c r="A13" t="s">
        <v>41</v>
      </c>
      <c r="B13">
        <v>0.15621399999999999</v>
      </c>
      <c r="C13">
        <f>'NORMALIZED DECISION MATRIX'!F11</f>
        <v>0.25916052767440806</v>
      </c>
      <c r="D13">
        <f>'NORMALIZED DECISION MATRIX'!G11</f>
        <v>0.86386842558136012</v>
      </c>
      <c r="E13">
        <f>'NORMALIZED DECISION MATRIX'!H11</f>
        <v>0.43193421279068006</v>
      </c>
      <c r="F13">
        <f>B13*C13</f>
        <v>4.0484502670129978E-2</v>
      </c>
      <c r="G13">
        <f>B13*D13</f>
        <v>0.13494834223376659</v>
      </c>
      <c r="H13">
        <f>B13*E13</f>
        <v>6.7474171116883294E-2</v>
      </c>
    </row>
    <row r="14" spans="1:8" x14ac:dyDescent="0.35">
      <c r="A14" t="s">
        <v>42</v>
      </c>
      <c r="B14">
        <v>0.15621399999999999</v>
      </c>
      <c r="C14">
        <f>'NORMALIZED DECISION MATRIX'!F12</f>
        <v>0.76249285166302339</v>
      </c>
      <c r="D14">
        <f>'NORMALIZED DECISION MATRIX'!G12</f>
        <v>0.457495710997814</v>
      </c>
      <c r="E14">
        <f>'NORMALIZED DECISION MATRIX'!H12</f>
        <v>0.457495710997814</v>
      </c>
      <c r="F14">
        <f>B14*C14</f>
        <v>0.11911205832968753</v>
      </c>
      <c r="G14">
        <f>B14*D14</f>
        <v>7.1467234997812518E-2</v>
      </c>
      <c r="H14">
        <f>B14*E14</f>
        <v>7.1467234997812518E-2</v>
      </c>
    </row>
    <row r="15" spans="1:8" x14ac:dyDescent="0.35">
      <c r="A15" t="s">
        <v>43</v>
      </c>
      <c r="B15">
        <v>0.15621399999999999</v>
      </c>
      <c r="C15">
        <f>'NORMALIZED DECISION MATRIX'!F13</f>
        <v>0.46852128566581819</v>
      </c>
      <c r="D15">
        <f>'NORMALIZED DECISION MATRIX'!G13</f>
        <v>0.62469504755442429</v>
      </c>
      <c r="E15">
        <f>'NORMALIZED DECISION MATRIX'!H13</f>
        <v>0.62469504755442429</v>
      </c>
      <c r="F15">
        <f>B15*C15</f>
        <v>7.3189584119000117E-2</v>
      </c>
      <c r="G15">
        <f>B15*D15</f>
        <v>9.7586112158666832E-2</v>
      </c>
      <c r="H15">
        <f>B15*E15</f>
        <v>9.7586112158666832E-2</v>
      </c>
    </row>
    <row r="17" spans="1:8" x14ac:dyDescent="0.35">
      <c r="A17" t="s">
        <v>44</v>
      </c>
      <c r="B17">
        <v>0.10083300000000001</v>
      </c>
      <c r="C17">
        <f>'NORMALIZED DECISION MATRIX'!F14</f>
        <v>0.7662610281769211</v>
      </c>
      <c r="D17">
        <f>'NORMALIZED DECISION MATRIX'!G14</f>
        <v>0.57469577113269077</v>
      </c>
      <c r="E17">
        <f>'NORMALIZED DECISION MATRIX'!H14</f>
        <v>0.28734788556634538</v>
      </c>
      <c r="F17">
        <f>B17*C17</f>
        <v>7.7264398254163494E-2</v>
      </c>
      <c r="G17">
        <f>B17*D17</f>
        <v>5.794829869062261E-2</v>
      </c>
      <c r="H17">
        <f>B17*E17</f>
        <v>2.8974149345311305E-2</v>
      </c>
    </row>
    <row r="18" spans="1:8" x14ac:dyDescent="0.35">
      <c r="A18" t="s">
        <v>45</v>
      </c>
      <c r="B18">
        <v>0.10083300000000001</v>
      </c>
      <c r="C18">
        <f>'NORMALIZED DECISION MATRIX'!F15</f>
        <v>0.68348612617340876</v>
      </c>
      <c r="D18">
        <f>'NORMALIZED DECISION MATRIX'!G15</f>
        <v>0.68348612617340876</v>
      </c>
      <c r="E18">
        <f>'NORMALIZED DECISION MATRIX'!H15</f>
        <v>0.25630729731502827</v>
      </c>
      <c r="F18">
        <f>B18*C18</f>
        <v>6.8917956560443333E-2</v>
      </c>
      <c r="G18">
        <f>B18*D18</f>
        <v>6.8917956560443333E-2</v>
      </c>
      <c r="H18">
        <f>B18*E18</f>
        <v>2.5844233710166246E-2</v>
      </c>
    </row>
    <row r="19" spans="1:8" x14ac:dyDescent="0.35">
      <c r="A19" t="s">
        <v>46</v>
      </c>
      <c r="B19">
        <v>0.10083300000000001</v>
      </c>
      <c r="C19">
        <f>'NORMALIZED DECISION MATRIX'!F16</f>
        <v>0.7662610281769211</v>
      </c>
      <c r="D19">
        <f>'NORMALIZED DECISION MATRIX'!G16</f>
        <v>0.57469577113269077</v>
      </c>
      <c r="E19">
        <f>'NORMALIZED DECISION MATRIX'!H16</f>
        <v>0.28734788556634538</v>
      </c>
      <c r="F19">
        <f>B19*C19</f>
        <v>7.7264398254163494E-2</v>
      </c>
      <c r="G19">
        <f>B19*D19</f>
        <v>5.794829869062261E-2</v>
      </c>
      <c r="H19">
        <f>B19*E19</f>
        <v>2.8974149345311305E-2</v>
      </c>
    </row>
    <row r="21" spans="1:8" x14ac:dyDescent="0.35">
      <c r="A21" t="s">
        <v>47</v>
      </c>
      <c r="B21">
        <v>5.7417999999999997E-2</v>
      </c>
      <c r="C21">
        <f>'NORMALIZED DECISION MATRIX'!F17</f>
        <v>0.57735026918962573</v>
      </c>
      <c r="D21">
        <f>'NORMALIZED DECISION MATRIX'!G17</f>
        <v>0.57735026918962573</v>
      </c>
      <c r="E21">
        <f>'NORMALIZED DECISION MATRIX'!H17</f>
        <v>0.57735026918962573</v>
      </c>
      <c r="F21">
        <f>B21*C21</f>
        <v>3.3150297756329931E-2</v>
      </c>
      <c r="G21">
        <f>B21*D21</f>
        <v>3.3150297756329931E-2</v>
      </c>
      <c r="H21">
        <f>B21*E21</f>
        <v>3.3150297756329931E-2</v>
      </c>
    </row>
    <row r="22" spans="1:8" x14ac:dyDescent="0.35">
      <c r="A22" t="s">
        <v>48</v>
      </c>
      <c r="B22">
        <v>5.7417999999999997E-2</v>
      </c>
      <c r="C22">
        <f>'NORMALIZED DECISION MATRIX'!F18</f>
        <v>9.2450032704204849E-2</v>
      </c>
      <c r="D22">
        <f>'NORMALIZED DECISION MATRIX'!G18</f>
        <v>0.36980013081681939</v>
      </c>
      <c r="E22">
        <f>'NORMALIZED DECISION MATRIX'!H18</f>
        <v>0.92450032704204843</v>
      </c>
      <c r="F22">
        <f>B22*C22</f>
        <v>5.3082959778100337E-3</v>
      </c>
      <c r="G22">
        <f>B22*D22</f>
        <v>2.1233183911240135E-2</v>
      </c>
      <c r="H22">
        <f>B22*E22</f>
        <v>5.3082959778100333E-2</v>
      </c>
    </row>
    <row r="23" spans="1:8" x14ac:dyDescent="0.35">
      <c r="A23" t="s">
        <v>49</v>
      </c>
      <c r="B23">
        <v>5.7417999999999997E-2</v>
      </c>
      <c r="C23">
        <f>'NORMALIZED DECISION MATRIX'!F19</f>
        <v>0.23866718525271902</v>
      </c>
      <c r="D23">
        <f>'NORMALIZED DECISION MATRIX'!G19</f>
        <v>0.79555728417573002</v>
      </c>
      <c r="E23">
        <f>'NORMALIZED DECISION MATRIX'!H19</f>
        <v>0.556890098923011</v>
      </c>
      <c r="F23">
        <f>B23*C23</f>
        <v>1.3703792442840619E-2</v>
      </c>
      <c r="G23">
        <f>B23*D23</f>
        <v>4.5679308142802064E-2</v>
      </c>
      <c r="H23">
        <f>B23*E23</f>
        <v>3.1975515699961446E-2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topLeftCell="B1" zoomScaleNormal="100" workbookViewId="0"/>
  </sheetViews>
  <sheetFormatPr defaultColWidth="8.6328125" defaultRowHeight="15" customHeight="1" x14ac:dyDescent="0.35"/>
  <cols>
    <col min="1" max="1" width="26.453125" customWidth="1"/>
    <col min="2" max="2" width="19.36328125" customWidth="1"/>
    <col min="3" max="3" width="18.453125" customWidth="1"/>
    <col min="4" max="4" width="17.36328125" customWidth="1"/>
    <col min="5" max="5" width="20.54296875" customWidth="1"/>
    <col min="6" max="6" width="21.90625" customWidth="1"/>
  </cols>
  <sheetData>
    <row r="1" spans="1:6" x14ac:dyDescent="0.35">
      <c r="A1" s="4" t="s">
        <v>16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93</v>
      </c>
    </row>
    <row r="2" spans="1:6" x14ac:dyDescent="0.35">
      <c r="A2" t="s">
        <v>32</v>
      </c>
      <c r="B2">
        <f>'WEIGHTED NORMALISED MATRIX'!F2</f>
        <v>0.17566176691170857</v>
      </c>
      <c r="C2">
        <f>'WEIGHTED NORMALISED MATRIX'!G2</f>
        <v>0.24592647367639198</v>
      </c>
      <c r="D2">
        <f>'WEIGHTED NORMALISED MATRIX'!H2</f>
        <v>0.35132353382341713</v>
      </c>
      <c r="E2">
        <f>MAX(B2:D2)</f>
        <v>0.35132353382341713</v>
      </c>
      <c r="F2">
        <f>MIN(B2:D2)</f>
        <v>0.17566176691170857</v>
      </c>
    </row>
    <row r="3" spans="1:6" x14ac:dyDescent="0.35">
      <c r="A3" t="s">
        <v>33</v>
      </c>
      <c r="B3">
        <f>'WEIGHTED NORMALISED MATRIX'!F3</f>
        <v>0.18495131411797569</v>
      </c>
      <c r="C3">
        <f>'WEIGHTED NORMALISED MATRIX'!G3</f>
        <v>0.30825219019662614</v>
      </c>
      <c r="D3">
        <f>'WEIGHTED NORMALISED MATRIX'!H3</f>
        <v>0.30825219019662614</v>
      </c>
      <c r="E3">
        <f>MAX(B3:D3)</f>
        <v>0.30825219019662614</v>
      </c>
      <c r="F3">
        <f>MIN(B3:D3)</f>
        <v>0.18495131411797569</v>
      </c>
    </row>
    <row r="4" spans="1:6" x14ac:dyDescent="0.35">
      <c r="A4" t="s">
        <v>34</v>
      </c>
      <c r="B4">
        <f>'WEIGHTED NORMALISED MATRIX'!F4</f>
        <v>0.38664868991200096</v>
      </c>
      <c r="C4">
        <f>'WEIGHTED NORMALISED MATRIX'!G4</f>
        <v>0.19332434495600048</v>
      </c>
      <c r="D4">
        <f>'WEIGHTED NORMALISED MATRIX'!H4</f>
        <v>0.19332434495600048</v>
      </c>
      <c r="E4">
        <f>MAX(B4:D4)</f>
        <v>0.38664868991200096</v>
      </c>
      <c r="F4">
        <f>MIN(B4:D4)</f>
        <v>0.19332434495600048</v>
      </c>
    </row>
    <row r="5" spans="1:6" x14ac:dyDescent="0.35">
      <c r="A5" t="s">
        <v>35</v>
      </c>
      <c r="B5">
        <f>'WEIGHTED NORMALISED MATRIX'!F5</f>
        <v>0.27340191057367053</v>
      </c>
      <c r="C5">
        <f>'WEIGHTED NORMALISED MATRIX'!G5</f>
        <v>0.27340191057367053</v>
      </c>
      <c r="D5">
        <f>'WEIGHTED NORMALISED MATRIX'!H5</f>
        <v>0.27340191057367053</v>
      </c>
      <c r="E5">
        <f>MAX(B5:D5)</f>
        <v>0.27340191057367053</v>
      </c>
      <c r="F5">
        <f>MIN(B5:D5)</f>
        <v>0.27340191057367053</v>
      </c>
    </row>
    <row r="6" spans="1:6" x14ac:dyDescent="0.35">
      <c r="A6" t="s">
        <v>36</v>
      </c>
      <c r="B6">
        <f>'WEIGHTED NORMALISED MATRIX'!F6</f>
        <v>0.12706572557677384</v>
      </c>
      <c r="C6">
        <f>'WEIGHTED NORMALISED MATRIX'!G6</f>
        <v>0.12706572557677384</v>
      </c>
      <c r="D6">
        <f>'WEIGHTED NORMALISED MATRIX'!H6</f>
        <v>0.16942096743569848</v>
      </c>
      <c r="E6">
        <f>MAX(B6:D6)</f>
        <v>0.16942096743569848</v>
      </c>
      <c r="F6">
        <f>MIN(B6:D6)</f>
        <v>0.12706572557677384</v>
      </c>
    </row>
    <row r="8" spans="1:6" x14ac:dyDescent="0.35">
      <c r="A8" t="s">
        <v>37</v>
      </c>
      <c r="B8">
        <f>'WEIGHTED NORMALISED MATRIX'!F8</f>
        <v>0.12851932462214907</v>
      </c>
      <c r="C8">
        <f>'WEIGHTED NORMALISED MATRIX'!G8</f>
        <v>0.12851932462214907</v>
      </c>
      <c r="D8">
        <f>'WEIGHTED NORMALISED MATRIX'!H8</f>
        <v>0.12851932462214907</v>
      </c>
      <c r="E8">
        <f>MAX(B8:D8)</f>
        <v>0.12851932462214907</v>
      </c>
      <c r="F8">
        <f>MIN(B8:D8)</f>
        <v>0.12851932462214907</v>
      </c>
    </row>
    <row r="9" spans="1:6" x14ac:dyDescent="0.35">
      <c r="A9" t="s">
        <v>38</v>
      </c>
      <c r="B9">
        <f>'WEIGHTED NORMALISED MATRIX'!F9</f>
        <v>7.3301231406675146E-2</v>
      </c>
      <c r="C9">
        <f>'WEIGHTED NORMALISED MATRIX'!G9</f>
        <v>0.12216871901112525</v>
      </c>
      <c r="D9">
        <f>'WEIGHTED NORMALISED MATRIX'!H9</f>
        <v>0.17103620661557534</v>
      </c>
      <c r="E9">
        <f>MAX(B9:D9)</f>
        <v>0.17103620661557534</v>
      </c>
      <c r="F9">
        <f>MIN(B9:D9)</f>
        <v>7.3301231406675146E-2</v>
      </c>
    </row>
    <row r="10" spans="1:6" x14ac:dyDescent="0.35">
      <c r="A10" t="s">
        <v>39</v>
      </c>
      <c r="B10">
        <f>'WEIGHTED NORMALISED MATRIX'!F10</f>
        <v>7.3301231406675146E-2</v>
      </c>
      <c r="C10">
        <f>'WEIGHTED NORMALISED MATRIX'!G10</f>
        <v>0.12216871901112525</v>
      </c>
      <c r="D10">
        <f>'WEIGHTED NORMALISED MATRIX'!H10</f>
        <v>0.17103620661557534</v>
      </c>
      <c r="E10">
        <f>MAX(B10:D10)</f>
        <v>0.17103620661557534</v>
      </c>
      <c r="F10">
        <f>MIN(B10:D10)</f>
        <v>7.3301231406675146E-2</v>
      </c>
    </row>
    <row r="12" spans="1:6" x14ac:dyDescent="0.35">
      <c r="A12" t="s">
        <v>40</v>
      </c>
      <c r="B12">
        <f>'WEIGHTED NORMALISED MATRIX'!F12</f>
        <v>4.0038788142769823E-2</v>
      </c>
      <c r="C12">
        <f>'WEIGHTED NORMALISED MATRIX'!G12</f>
        <v>0.10677010171405286</v>
      </c>
      <c r="D12">
        <f>'WEIGHTED NORMALISED MATRIX'!H12</f>
        <v>0.10677010171405286</v>
      </c>
      <c r="E12">
        <f>MAX(B12:D12)</f>
        <v>0.10677010171405286</v>
      </c>
      <c r="F12">
        <f>MIN(B12:D12)</f>
        <v>4.0038788142769823E-2</v>
      </c>
    </row>
    <row r="13" spans="1:6" x14ac:dyDescent="0.35">
      <c r="A13" t="s">
        <v>41</v>
      </c>
      <c r="B13">
        <f>'WEIGHTED NORMALISED MATRIX'!F13</f>
        <v>4.0484502670129978E-2</v>
      </c>
      <c r="C13">
        <f>'WEIGHTED NORMALISED MATRIX'!G13</f>
        <v>0.13494834223376659</v>
      </c>
      <c r="D13">
        <f>'WEIGHTED NORMALISED MATRIX'!H13</f>
        <v>6.7474171116883294E-2</v>
      </c>
      <c r="E13">
        <f>MAX(B13:D13)</f>
        <v>0.13494834223376659</v>
      </c>
      <c r="F13">
        <f>MIN(B13:D13)</f>
        <v>4.0484502670129978E-2</v>
      </c>
    </row>
    <row r="14" spans="1:6" x14ac:dyDescent="0.35">
      <c r="A14" t="s">
        <v>42</v>
      </c>
      <c r="B14">
        <f>'WEIGHTED NORMALISED MATRIX'!F14</f>
        <v>0.11911205832968753</v>
      </c>
      <c r="C14">
        <f>'WEIGHTED NORMALISED MATRIX'!G14</f>
        <v>7.1467234997812518E-2</v>
      </c>
      <c r="D14">
        <f>'WEIGHTED NORMALISED MATRIX'!H14</f>
        <v>7.1467234997812518E-2</v>
      </c>
      <c r="E14">
        <f>MAX(B14:D14)</f>
        <v>0.11911205832968753</v>
      </c>
      <c r="F14">
        <f>MIN(B14:D14)</f>
        <v>7.1467234997812518E-2</v>
      </c>
    </row>
    <row r="15" spans="1:6" x14ac:dyDescent="0.35">
      <c r="A15" t="s">
        <v>43</v>
      </c>
      <c r="B15">
        <f>'WEIGHTED NORMALISED MATRIX'!F15</f>
        <v>7.3189584119000117E-2</v>
      </c>
      <c r="C15">
        <f>'WEIGHTED NORMALISED MATRIX'!G15</f>
        <v>9.7586112158666832E-2</v>
      </c>
      <c r="D15">
        <f>'WEIGHTED NORMALISED MATRIX'!H15</f>
        <v>9.7586112158666832E-2</v>
      </c>
      <c r="E15">
        <f>MAX(B15:D15)</f>
        <v>9.7586112158666832E-2</v>
      </c>
      <c r="F15">
        <f>MIN(B15:D15)</f>
        <v>7.3189584119000117E-2</v>
      </c>
    </row>
    <row r="17" spans="1:6" x14ac:dyDescent="0.35">
      <c r="A17" t="s">
        <v>47</v>
      </c>
      <c r="B17">
        <f>'WEIGHTED NORMALISED MATRIX'!F17</f>
        <v>7.7264398254163494E-2</v>
      </c>
      <c r="C17">
        <f>'WEIGHTED NORMALISED MATRIX'!G17</f>
        <v>5.794829869062261E-2</v>
      </c>
      <c r="D17">
        <f>'WEIGHTED NORMALISED MATRIX'!H17</f>
        <v>2.8974149345311305E-2</v>
      </c>
      <c r="E17">
        <f>MAX(B17:D17)</f>
        <v>7.7264398254163494E-2</v>
      </c>
      <c r="F17">
        <f>MIN(B17:D17)</f>
        <v>2.8974149345311305E-2</v>
      </c>
    </row>
    <row r="18" spans="1:6" x14ac:dyDescent="0.35">
      <c r="A18" t="s">
        <v>48</v>
      </c>
      <c r="B18">
        <f>'WEIGHTED NORMALISED MATRIX'!F18</f>
        <v>6.8917956560443333E-2</v>
      </c>
      <c r="C18">
        <f>'WEIGHTED NORMALISED MATRIX'!G18</f>
        <v>6.8917956560443333E-2</v>
      </c>
      <c r="D18">
        <f>'WEIGHTED NORMALISED MATRIX'!H18</f>
        <v>2.5844233710166246E-2</v>
      </c>
      <c r="E18">
        <f>MAX(B18:D18)</f>
        <v>6.8917956560443333E-2</v>
      </c>
      <c r="F18">
        <f>MIN(B18:D18)</f>
        <v>2.5844233710166246E-2</v>
      </c>
    </row>
    <row r="19" spans="1:6" x14ac:dyDescent="0.35">
      <c r="A19" t="s">
        <v>49</v>
      </c>
      <c r="B19">
        <f>'WEIGHTED NORMALISED MATRIX'!F19</f>
        <v>7.7264398254163494E-2</v>
      </c>
      <c r="C19">
        <f>'WEIGHTED NORMALISED MATRIX'!G19</f>
        <v>5.794829869062261E-2</v>
      </c>
      <c r="D19">
        <f>'WEIGHTED NORMALISED MATRIX'!H19</f>
        <v>2.8974149345311305E-2</v>
      </c>
      <c r="E19">
        <f>MAX(B19:D19)</f>
        <v>7.7264398254163494E-2</v>
      </c>
      <c r="F19">
        <f>MIN(B19:D19)</f>
        <v>2.8974149345311305E-2</v>
      </c>
    </row>
    <row r="21" spans="1:6" x14ac:dyDescent="0.35">
      <c r="A21" t="s">
        <v>44</v>
      </c>
      <c r="B21">
        <f>'WEIGHTED NORMALISED MATRIX'!F21</f>
        <v>3.3150297756329931E-2</v>
      </c>
      <c r="C21">
        <f>'WEIGHTED NORMALISED MATRIX'!G21</f>
        <v>3.3150297756329931E-2</v>
      </c>
      <c r="D21">
        <f>'WEIGHTED NORMALISED MATRIX'!H21</f>
        <v>3.3150297756329931E-2</v>
      </c>
      <c r="E21">
        <f>MIN(B21:D21)</f>
        <v>3.3150297756329931E-2</v>
      </c>
      <c r="F21">
        <f>MAX(B21:D21)</f>
        <v>3.3150297756329931E-2</v>
      </c>
    </row>
    <row r="22" spans="1:6" x14ac:dyDescent="0.35">
      <c r="A22" t="s">
        <v>45</v>
      </c>
      <c r="B22">
        <f>'WEIGHTED NORMALISED MATRIX'!F22</f>
        <v>5.3082959778100337E-3</v>
      </c>
      <c r="C22">
        <f>'WEIGHTED NORMALISED MATRIX'!G22</f>
        <v>2.1233183911240135E-2</v>
      </c>
      <c r="D22">
        <f>'WEIGHTED NORMALISED MATRIX'!H22</f>
        <v>5.3082959778100333E-2</v>
      </c>
      <c r="E22">
        <f>MIN(B22:D22)</f>
        <v>5.3082959778100337E-3</v>
      </c>
      <c r="F22">
        <f>MAX(B22:D22)</f>
        <v>5.3082959778100333E-2</v>
      </c>
    </row>
    <row r="23" spans="1:6" x14ac:dyDescent="0.35">
      <c r="A23" t="s">
        <v>46</v>
      </c>
      <c r="B23">
        <f>'WEIGHTED NORMALISED MATRIX'!F23</f>
        <v>1.3703792442840619E-2</v>
      </c>
      <c r="C23">
        <f>'WEIGHTED NORMALISED MATRIX'!G23</f>
        <v>4.5679308142802064E-2</v>
      </c>
      <c r="D23">
        <f>'WEIGHTED NORMALISED MATRIX'!H23</f>
        <v>3.1975515699961446E-2</v>
      </c>
      <c r="E23">
        <f>MIN(B23:D23)</f>
        <v>1.3703792442840619E-2</v>
      </c>
      <c r="F23">
        <f>MAX(B23:D23)</f>
        <v>4.5679308142802064E-2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1"/>
  <sheetViews>
    <sheetView zoomScaleNormal="100" workbookViewId="0">
      <selection activeCell="D29" sqref="D29"/>
    </sheetView>
  </sheetViews>
  <sheetFormatPr defaultColWidth="8.6328125" defaultRowHeight="15" customHeight="1" x14ac:dyDescent="0.35"/>
  <cols>
    <col min="1" max="1" width="19.08984375" customWidth="1"/>
    <col min="2" max="2" width="13.1796875" customWidth="1"/>
    <col min="3" max="3" width="12.26953125" customWidth="1"/>
    <col min="4" max="4" width="11.453125" customWidth="1"/>
    <col min="5" max="5" width="17.7265625" customWidth="1"/>
    <col min="6" max="6" width="18.1796875" customWidth="1"/>
    <col min="7" max="7" width="15.08984375" customWidth="1"/>
    <col min="8" max="8" width="16" customWidth="1"/>
    <col min="9" max="9" width="11" customWidth="1"/>
    <col min="10" max="10" width="17.36328125" customWidth="1"/>
    <col min="11" max="11" width="11.81640625" customWidth="1"/>
    <col min="12" max="12" width="12.81640625" customWidth="1"/>
  </cols>
  <sheetData>
    <row r="1" spans="1:12" ht="27.75" customHeight="1" x14ac:dyDescent="0.35">
      <c r="G1" s="1" t="s">
        <v>94</v>
      </c>
      <c r="H1" s="1"/>
      <c r="I1" s="1"/>
      <c r="J1" s="1" t="s">
        <v>95</v>
      </c>
      <c r="K1" s="1"/>
      <c r="L1" s="1"/>
    </row>
    <row r="2" spans="1:12" ht="14.5" x14ac:dyDescent="0.35">
      <c r="A2" s="4" t="s">
        <v>16</v>
      </c>
      <c r="B2" s="6" t="s">
        <v>89</v>
      </c>
      <c r="C2" s="7" t="s">
        <v>90</v>
      </c>
      <c r="D2" s="8" t="s">
        <v>91</v>
      </c>
      <c r="E2" s="9" t="s">
        <v>92</v>
      </c>
      <c r="F2" s="10" t="s">
        <v>93</v>
      </c>
      <c r="G2" s="4" t="s">
        <v>96</v>
      </c>
      <c r="H2" s="4" t="s">
        <v>97</v>
      </c>
      <c r="I2" s="4" t="s">
        <v>98</v>
      </c>
      <c r="J2" s="4" t="s">
        <v>99</v>
      </c>
      <c r="K2" s="4" t="s">
        <v>100</v>
      </c>
      <c r="L2" s="4" t="s">
        <v>101</v>
      </c>
    </row>
    <row r="3" spans="1:12" ht="14.5" x14ac:dyDescent="0.35">
      <c r="A3" t="s">
        <v>32</v>
      </c>
      <c r="B3" s="11">
        <f>'IDEAL SOLUTION'!B2</f>
        <v>0.17566176691170857</v>
      </c>
      <c r="C3" s="12">
        <f>'IDEAL SOLUTION'!C2</f>
        <v>0.24592647367639198</v>
      </c>
      <c r="D3" s="13">
        <f>'IDEAL SOLUTION'!D2</f>
        <v>0.35132353382341713</v>
      </c>
      <c r="E3" s="14">
        <f>'IDEAL SOLUTION'!E2</f>
        <v>0.35132353382341713</v>
      </c>
      <c r="F3" s="15">
        <f>'IDEAL SOLUTION'!F2</f>
        <v>0.17566176691170857</v>
      </c>
      <c r="G3">
        <f t="shared" ref="G3:G24" si="0">(B3-E3)^2</f>
        <v>3.085705635454343E-2</v>
      </c>
      <c r="H3">
        <f t="shared" ref="H3:H24" si="1">(C3-E3)^2</f>
        <v>1.1108540287635639E-2</v>
      </c>
      <c r="I3">
        <f t="shared" ref="I3:I24" si="2">(D3-E3)^2</f>
        <v>0</v>
      </c>
      <c r="J3">
        <f t="shared" ref="J3:J24" si="3">(B3-F3)^2</f>
        <v>0</v>
      </c>
      <c r="K3">
        <f t="shared" ref="K3:K24" si="4">(C3-F3)^2</f>
        <v>4.9371290167269464E-3</v>
      </c>
      <c r="L3">
        <f t="shared" ref="L3:L24" si="5">(D3-F3)^2</f>
        <v>3.085705635454343E-2</v>
      </c>
    </row>
    <row r="4" spans="1:12" ht="14.5" x14ac:dyDescent="0.35">
      <c r="A4" t="s">
        <v>33</v>
      </c>
      <c r="B4" s="11">
        <f>'IDEAL SOLUTION'!B3</f>
        <v>0.18495131411797569</v>
      </c>
      <c r="C4" s="12">
        <f>'IDEAL SOLUTION'!C3</f>
        <v>0.30825219019662614</v>
      </c>
      <c r="D4" s="13">
        <f>'IDEAL SOLUTION'!D3</f>
        <v>0.30825219019662614</v>
      </c>
      <c r="E4" s="14">
        <f>'IDEAL SOLUTION'!E3</f>
        <v>0.30825219019662614</v>
      </c>
      <c r="F4" s="15">
        <f>'IDEAL SOLUTION'!F3</f>
        <v>0.18495131411797569</v>
      </c>
      <c r="G4">
        <f t="shared" si="0"/>
        <v>1.5203106041762716E-2</v>
      </c>
      <c r="H4">
        <f t="shared" si="1"/>
        <v>0</v>
      </c>
      <c r="I4">
        <f t="shared" si="2"/>
        <v>0</v>
      </c>
      <c r="J4">
        <f t="shared" si="3"/>
        <v>0</v>
      </c>
      <c r="K4">
        <f t="shared" si="4"/>
        <v>1.5203106041762716E-2</v>
      </c>
      <c r="L4">
        <f t="shared" si="5"/>
        <v>1.5203106041762716E-2</v>
      </c>
    </row>
    <row r="5" spans="1:12" ht="14.5" x14ac:dyDescent="0.35">
      <c r="A5" t="s">
        <v>34</v>
      </c>
      <c r="B5" s="11">
        <f>'IDEAL SOLUTION'!B4</f>
        <v>0.38664868991200096</v>
      </c>
      <c r="C5" s="12">
        <f>'IDEAL SOLUTION'!C4</f>
        <v>0.19332434495600048</v>
      </c>
      <c r="D5" s="13">
        <f>'IDEAL SOLUTION'!D4</f>
        <v>0.19332434495600048</v>
      </c>
      <c r="E5" s="14">
        <f>'IDEAL SOLUTION'!E4</f>
        <v>0.38664868991200096</v>
      </c>
      <c r="F5" s="15">
        <f>'IDEAL SOLUTION'!F4</f>
        <v>0.19332434495600048</v>
      </c>
      <c r="G5">
        <f t="shared" si="0"/>
        <v>0</v>
      </c>
      <c r="H5">
        <f t="shared" si="1"/>
        <v>3.7374302352666672E-2</v>
      </c>
      <c r="I5">
        <f t="shared" si="2"/>
        <v>3.7374302352666672E-2</v>
      </c>
      <c r="J5">
        <f t="shared" si="3"/>
        <v>3.7374302352666672E-2</v>
      </c>
      <c r="K5">
        <f t="shared" si="4"/>
        <v>0</v>
      </c>
      <c r="L5">
        <f t="shared" si="5"/>
        <v>0</v>
      </c>
    </row>
    <row r="6" spans="1:12" ht="14.5" x14ac:dyDescent="0.35">
      <c r="A6" t="s">
        <v>35</v>
      </c>
      <c r="B6" s="11">
        <f>'IDEAL SOLUTION'!B5</f>
        <v>0.27340191057367053</v>
      </c>
      <c r="C6" s="12">
        <f>'IDEAL SOLUTION'!C5</f>
        <v>0.27340191057367053</v>
      </c>
      <c r="D6" s="13">
        <f>'IDEAL SOLUTION'!D5</f>
        <v>0.27340191057367053</v>
      </c>
      <c r="E6" s="14">
        <f>'IDEAL SOLUTION'!E5</f>
        <v>0.27340191057367053</v>
      </c>
      <c r="F6" s="15">
        <f>'IDEAL SOLUTION'!F5</f>
        <v>0.27340191057367053</v>
      </c>
      <c r="G6">
        <f t="shared" si="0"/>
        <v>0</v>
      </c>
      <c r="H6">
        <f t="shared" si="1"/>
        <v>0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0</v>
      </c>
    </row>
    <row r="7" spans="1:12" ht="14.5" x14ac:dyDescent="0.35">
      <c r="A7" t="s">
        <v>36</v>
      </c>
      <c r="B7" s="11">
        <f>'IDEAL SOLUTION'!B6</f>
        <v>0.12706572557677384</v>
      </c>
      <c r="C7" s="12">
        <f>'IDEAL SOLUTION'!C6</f>
        <v>0.12706572557677384</v>
      </c>
      <c r="D7" s="13">
        <f>'IDEAL SOLUTION'!D6</f>
        <v>0.16942096743569848</v>
      </c>
      <c r="E7" s="14">
        <f>'IDEAL SOLUTION'!E6</f>
        <v>0.16942096743569848</v>
      </c>
      <c r="F7" s="15">
        <f>'IDEAL SOLUTION'!F6</f>
        <v>0.12706572557677384</v>
      </c>
      <c r="G7">
        <f t="shared" si="0"/>
        <v>1.7939665129280021E-3</v>
      </c>
      <c r="H7">
        <f t="shared" si="1"/>
        <v>1.7939665129280021E-3</v>
      </c>
      <c r="I7">
        <f t="shared" si="2"/>
        <v>0</v>
      </c>
      <c r="J7">
        <f t="shared" si="3"/>
        <v>0</v>
      </c>
      <c r="K7">
        <f t="shared" si="4"/>
        <v>0</v>
      </c>
      <c r="L7">
        <f t="shared" si="5"/>
        <v>1.7939665129280021E-3</v>
      </c>
    </row>
    <row r="8" spans="1:12" ht="14.5" x14ac:dyDescent="0.35">
      <c r="B8" s="11">
        <f>'IDEAL SOLUTION'!B7</f>
        <v>0</v>
      </c>
      <c r="C8" s="12">
        <f>'IDEAL SOLUTION'!C7</f>
        <v>0</v>
      </c>
      <c r="D8" s="13">
        <f>'IDEAL SOLUTION'!D7</f>
        <v>0</v>
      </c>
      <c r="E8" s="14">
        <f>'IDEAL SOLUTION'!E7</f>
        <v>0</v>
      </c>
      <c r="F8" s="15">
        <f>'IDEAL SOLUTION'!F7</f>
        <v>0</v>
      </c>
      <c r="G8">
        <f t="shared" si="0"/>
        <v>0</v>
      </c>
      <c r="H8">
        <f t="shared" si="1"/>
        <v>0</v>
      </c>
      <c r="I8">
        <f t="shared" si="2"/>
        <v>0</v>
      </c>
      <c r="J8">
        <f t="shared" si="3"/>
        <v>0</v>
      </c>
      <c r="K8">
        <f t="shared" si="4"/>
        <v>0</v>
      </c>
      <c r="L8">
        <f t="shared" si="5"/>
        <v>0</v>
      </c>
    </row>
    <row r="9" spans="1:12" ht="14.5" x14ac:dyDescent="0.35">
      <c r="A9" t="s">
        <v>37</v>
      </c>
      <c r="B9" s="11">
        <f>'IDEAL SOLUTION'!B8</f>
        <v>0.12851932462214907</v>
      </c>
      <c r="C9" s="12">
        <f>'IDEAL SOLUTION'!C8</f>
        <v>0.12851932462214907</v>
      </c>
      <c r="D9" s="13">
        <f>'IDEAL SOLUTION'!D8</f>
        <v>0.12851932462214907</v>
      </c>
      <c r="E9" s="14">
        <f>'IDEAL SOLUTION'!E8</f>
        <v>0.12851932462214907</v>
      </c>
      <c r="F9" s="15">
        <f>'IDEAL SOLUTION'!F8</f>
        <v>0.12851932462214907</v>
      </c>
      <c r="G9">
        <f t="shared" si="0"/>
        <v>0</v>
      </c>
      <c r="H9">
        <f t="shared" si="1"/>
        <v>0</v>
      </c>
      <c r="I9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</row>
    <row r="10" spans="1:12" ht="14.5" x14ac:dyDescent="0.35">
      <c r="A10" t="s">
        <v>38</v>
      </c>
      <c r="B10" s="11">
        <f>'IDEAL SOLUTION'!B9</f>
        <v>7.3301231406675146E-2</v>
      </c>
      <c r="C10" s="12">
        <f>'IDEAL SOLUTION'!C9</f>
        <v>0.12216871901112525</v>
      </c>
      <c r="D10" s="13">
        <f>'IDEAL SOLUTION'!D9</f>
        <v>0.17103620661557534</v>
      </c>
      <c r="E10" s="14">
        <f>'IDEAL SOLUTION'!E9</f>
        <v>0.17103620661557534</v>
      </c>
      <c r="F10" s="15">
        <f>'IDEAL SOLUTION'!F9</f>
        <v>7.3301231406675146E-2</v>
      </c>
      <c r="G10">
        <f t="shared" si="0"/>
        <v>9.552125379084335E-3</v>
      </c>
      <c r="H10">
        <f t="shared" si="1"/>
        <v>2.3880313447710829E-3</v>
      </c>
      <c r="I10">
        <f t="shared" si="2"/>
        <v>0</v>
      </c>
      <c r="J10">
        <f t="shared" si="3"/>
        <v>0</v>
      </c>
      <c r="K10">
        <f t="shared" si="4"/>
        <v>2.3880313447710842E-3</v>
      </c>
      <c r="L10">
        <f t="shared" si="5"/>
        <v>9.552125379084335E-3</v>
      </c>
    </row>
    <row r="11" spans="1:12" ht="14.5" x14ac:dyDescent="0.35">
      <c r="A11" t="s">
        <v>39</v>
      </c>
      <c r="B11" s="11">
        <f>'IDEAL SOLUTION'!B10</f>
        <v>7.3301231406675146E-2</v>
      </c>
      <c r="C11" s="12">
        <f>'IDEAL SOLUTION'!C10</f>
        <v>0.12216871901112525</v>
      </c>
      <c r="D11" s="13">
        <f>'IDEAL SOLUTION'!D10</f>
        <v>0.17103620661557534</v>
      </c>
      <c r="E11" s="14">
        <f>'IDEAL SOLUTION'!E10</f>
        <v>0.17103620661557534</v>
      </c>
      <c r="F11" s="15">
        <f>'IDEAL SOLUTION'!F10</f>
        <v>7.3301231406675146E-2</v>
      </c>
      <c r="G11">
        <f t="shared" si="0"/>
        <v>9.552125379084335E-3</v>
      </c>
      <c r="H11">
        <f t="shared" si="1"/>
        <v>2.3880313447710829E-3</v>
      </c>
      <c r="I11">
        <f t="shared" si="2"/>
        <v>0</v>
      </c>
      <c r="J11">
        <f t="shared" si="3"/>
        <v>0</v>
      </c>
      <c r="K11">
        <f t="shared" si="4"/>
        <v>2.3880313447710842E-3</v>
      </c>
      <c r="L11">
        <f t="shared" si="5"/>
        <v>9.552125379084335E-3</v>
      </c>
    </row>
    <row r="12" spans="1:12" ht="14.5" x14ac:dyDescent="0.35">
      <c r="B12" s="11">
        <f>'IDEAL SOLUTION'!B11</f>
        <v>0</v>
      </c>
      <c r="C12" s="12">
        <f>'IDEAL SOLUTION'!C11</f>
        <v>0</v>
      </c>
      <c r="D12" s="13">
        <f>'IDEAL SOLUTION'!D11</f>
        <v>0</v>
      </c>
      <c r="E12" s="14">
        <f>'IDEAL SOLUTION'!E11</f>
        <v>0</v>
      </c>
      <c r="F12" s="15">
        <f>'IDEAL SOLUTION'!F11</f>
        <v>0</v>
      </c>
      <c r="G12">
        <f t="shared" si="0"/>
        <v>0</v>
      </c>
      <c r="H12">
        <f t="shared" si="1"/>
        <v>0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</row>
    <row r="13" spans="1:12" ht="14.5" x14ac:dyDescent="0.35">
      <c r="A13" t="s">
        <v>40</v>
      </c>
      <c r="B13" s="11">
        <f>'IDEAL SOLUTION'!B12</f>
        <v>4.0038788142769823E-2</v>
      </c>
      <c r="C13" s="12">
        <f>'IDEAL SOLUTION'!C12</f>
        <v>0.10677010171405286</v>
      </c>
      <c r="D13" s="13">
        <f>'IDEAL SOLUTION'!D12</f>
        <v>0.10677010171405286</v>
      </c>
      <c r="E13" s="14">
        <f>'IDEAL SOLUTION'!E12</f>
        <v>0.10677010171405286</v>
      </c>
      <c r="F13" s="15">
        <f>'IDEAL SOLUTION'!F12</f>
        <v>4.0038788142769823E-2</v>
      </c>
      <c r="G13">
        <f t="shared" si="0"/>
        <v>4.4530682109489034E-3</v>
      </c>
      <c r="H13">
        <f t="shared" si="1"/>
        <v>0</v>
      </c>
      <c r="I13">
        <f t="shared" si="2"/>
        <v>0</v>
      </c>
      <c r="J13">
        <f t="shared" si="3"/>
        <v>0</v>
      </c>
      <c r="K13">
        <f t="shared" si="4"/>
        <v>4.4530682109489034E-3</v>
      </c>
      <c r="L13">
        <f t="shared" si="5"/>
        <v>4.4530682109489034E-3</v>
      </c>
    </row>
    <row r="14" spans="1:12" ht="14.5" x14ac:dyDescent="0.35">
      <c r="A14" t="s">
        <v>41</v>
      </c>
      <c r="B14" s="11">
        <f>'IDEAL SOLUTION'!B13</f>
        <v>4.0484502670129978E-2</v>
      </c>
      <c r="C14" s="12">
        <f>'IDEAL SOLUTION'!C13</f>
        <v>0.13494834223376659</v>
      </c>
      <c r="D14" s="13">
        <f>'IDEAL SOLUTION'!D13</f>
        <v>6.7474171116883294E-2</v>
      </c>
      <c r="E14" s="14">
        <f>'IDEAL SOLUTION'!E13</f>
        <v>0.13494834223376659</v>
      </c>
      <c r="F14" s="15">
        <f>'IDEAL SOLUTION'!F13</f>
        <v>4.0484502670129978E-2</v>
      </c>
      <c r="G14">
        <f t="shared" si="0"/>
        <v>8.9234169851044754E-3</v>
      </c>
      <c r="H14">
        <f t="shared" si="1"/>
        <v>0</v>
      </c>
      <c r="I14">
        <f t="shared" si="2"/>
        <v>4.5527637679104475E-3</v>
      </c>
      <c r="J14">
        <f t="shared" si="3"/>
        <v>0</v>
      </c>
      <c r="K14">
        <f t="shared" si="4"/>
        <v>8.9234169851044754E-3</v>
      </c>
      <c r="L14">
        <f t="shared" si="5"/>
        <v>7.2844220286567157E-4</v>
      </c>
    </row>
    <row r="15" spans="1:12" ht="14.5" x14ac:dyDescent="0.35">
      <c r="A15" t="s">
        <v>42</v>
      </c>
      <c r="B15" s="11">
        <f>'IDEAL SOLUTION'!B14</f>
        <v>0.11911205832968753</v>
      </c>
      <c r="C15" s="12">
        <f>'IDEAL SOLUTION'!C14</f>
        <v>7.1467234997812518E-2</v>
      </c>
      <c r="D15" s="13">
        <f>'IDEAL SOLUTION'!D14</f>
        <v>7.1467234997812518E-2</v>
      </c>
      <c r="E15" s="14">
        <f>'IDEAL SOLUTION'!E14</f>
        <v>0.11911205832968753</v>
      </c>
      <c r="F15" s="15">
        <f>'IDEAL SOLUTION'!F14</f>
        <v>7.1467234997812518E-2</v>
      </c>
      <c r="G15">
        <f t="shared" si="0"/>
        <v>0</v>
      </c>
      <c r="H15">
        <f t="shared" si="1"/>
        <v>2.2700291903255819E-3</v>
      </c>
      <c r="I15">
        <f t="shared" si="2"/>
        <v>2.2700291903255819E-3</v>
      </c>
      <c r="J15">
        <f t="shared" si="3"/>
        <v>2.2700291903255819E-3</v>
      </c>
      <c r="K15">
        <f t="shared" si="4"/>
        <v>0</v>
      </c>
      <c r="L15">
        <f t="shared" si="5"/>
        <v>0</v>
      </c>
    </row>
    <row r="16" spans="1:12" ht="14.5" x14ac:dyDescent="0.35">
      <c r="A16" t="s">
        <v>43</v>
      </c>
      <c r="B16" s="11">
        <f>'IDEAL SOLUTION'!B15</f>
        <v>7.3189584119000117E-2</v>
      </c>
      <c r="C16" s="12">
        <f>'IDEAL SOLUTION'!C15</f>
        <v>9.7586112158666832E-2</v>
      </c>
      <c r="D16" s="13">
        <f>'IDEAL SOLUTION'!D15</f>
        <v>9.7586112158666832E-2</v>
      </c>
      <c r="E16" s="14">
        <f>'IDEAL SOLUTION'!E15</f>
        <v>9.7586112158666832E-2</v>
      </c>
      <c r="F16" s="15">
        <f>'IDEAL SOLUTION'!F15</f>
        <v>7.3189584119000117E-2</v>
      </c>
      <c r="G16">
        <f t="shared" si="0"/>
        <v>5.9519058039024422E-4</v>
      </c>
      <c r="H16">
        <f t="shared" si="1"/>
        <v>0</v>
      </c>
      <c r="I16">
        <f t="shared" si="2"/>
        <v>0</v>
      </c>
      <c r="J16">
        <f t="shared" si="3"/>
        <v>0</v>
      </c>
      <c r="K16">
        <f t="shared" si="4"/>
        <v>5.9519058039024422E-4</v>
      </c>
      <c r="L16">
        <f t="shared" si="5"/>
        <v>5.9519058039024422E-4</v>
      </c>
    </row>
    <row r="17" spans="1:12" ht="14.5" x14ac:dyDescent="0.35">
      <c r="B17" s="11">
        <f>'IDEAL SOLUTION'!B16</f>
        <v>0</v>
      </c>
      <c r="C17" s="12">
        <f>'IDEAL SOLUTION'!C16</f>
        <v>0</v>
      </c>
      <c r="D17" s="13">
        <f>'IDEAL SOLUTION'!D16</f>
        <v>0</v>
      </c>
      <c r="E17" s="14">
        <f>'IDEAL SOLUTION'!E16</f>
        <v>0</v>
      </c>
      <c r="F17" s="15">
        <f>'IDEAL SOLUTION'!F16</f>
        <v>0</v>
      </c>
      <c r="G17">
        <f t="shared" si="0"/>
        <v>0</v>
      </c>
      <c r="H17">
        <f t="shared" si="1"/>
        <v>0</v>
      </c>
      <c r="I17">
        <f t="shared" si="2"/>
        <v>0</v>
      </c>
      <c r="J17">
        <f t="shared" si="3"/>
        <v>0</v>
      </c>
      <c r="K17">
        <f t="shared" si="4"/>
        <v>0</v>
      </c>
      <c r="L17">
        <f t="shared" si="5"/>
        <v>0</v>
      </c>
    </row>
    <row r="18" spans="1:12" ht="14.5" x14ac:dyDescent="0.35">
      <c r="A18" t="s">
        <v>47</v>
      </c>
      <c r="B18" s="11">
        <f>'IDEAL SOLUTION'!B17</f>
        <v>7.7264398254163494E-2</v>
      </c>
      <c r="C18" s="12">
        <f>'IDEAL SOLUTION'!C17</f>
        <v>5.794829869062261E-2</v>
      </c>
      <c r="D18" s="13">
        <f>'IDEAL SOLUTION'!D17</f>
        <v>2.8974149345311305E-2</v>
      </c>
      <c r="E18" s="14">
        <f>'IDEAL SOLUTION'!E17</f>
        <v>7.7264398254163494E-2</v>
      </c>
      <c r="F18" s="15">
        <f>'IDEAL SOLUTION'!F17</f>
        <v>2.8974149345311305E-2</v>
      </c>
      <c r="G18">
        <f t="shared" si="0"/>
        <v>0</v>
      </c>
      <c r="H18">
        <f t="shared" si="1"/>
        <v>3.7311170234862433E-4</v>
      </c>
      <c r="I18">
        <f t="shared" si="2"/>
        <v>2.3319481396788999E-3</v>
      </c>
      <c r="J18">
        <f t="shared" si="3"/>
        <v>2.3319481396788999E-3</v>
      </c>
      <c r="K18">
        <f t="shared" si="4"/>
        <v>8.3950133028440354E-4</v>
      </c>
      <c r="L18">
        <f t="shared" si="5"/>
        <v>0</v>
      </c>
    </row>
    <row r="19" spans="1:12" ht="14.5" x14ac:dyDescent="0.35">
      <c r="A19" t="s">
        <v>48</v>
      </c>
      <c r="B19" s="11">
        <f>'IDEAL SOLUTION'!B18</f>
        <v>6.8917956560443333E-2</v>
      </c>
      <c r="C19" s="12">
        <f>'IDEAL SOLUTION'!C18</f>
        <v>6.8917956560443333E-2</v>
      </c>
      <c r="D19" s="13">
        <f>'IDEAL SOLUTION'!D18</f>
        <v>2.5844233710166246E-2</v>
      </c>
      <c r="E19" s="14">
        <f>'IDEAL SOLUTION'!E18</f>
        <v>6.8917956560443333E-2</v>
      </c>
      <c r="F19" s="15">
        <f>'IDEAL SOLUTION'!F18</f>
        <v>2.5844233710166246E-2</v>
      </c>
      <c r="G19">
        <f t="shared" si="0"/>
        <v>0</v>
      </c>
      <c r="H19">
        <f t="shared" si="1"/>
        <v>0</v>
      </c>
      <c r="I19">
        <f t="shared" si="2"/>
        <v>1.8553456001824825E-3</v>
      </c>
      <c r="J19">
        <f t="shared" si="3"/>
        <v>1.8553456001824825E-3</v>
      </c>
      <c r="K19">
        <f t="shared" si="4"/>
        <v>1.8553456001824825E-3</v>
      </c>
      <c r="L19">
        <f t="shared" si="5"/>
        <v>0</v>
      </c>
    </row>
    <row r="20" spans="1:12" ht="14.5" x14ac:dyDescent="0.35">
      <c r="A20" t="s">
        <v>49</v>
      </c>
      <c r="B20" s="11">
        <f>'IDEAL SOLUTION'!B19</f>
        <v>7.7264398254163494E-2</v>
      </c>
      <c r="C20" s="12">
        <f>'IDEAL SOLUTION'!C19</f>
        <v>5.794829869062261E-2</v>
      </c>
      <c r="D20" s="13">
        <f>'IDEAL SOLUTION'!D19</f>
        <v>2.8974149345311305E-2</v>
      </c>
      <c r="E20" s="14">
        <f>'IDEAL SOLUTION'!E19</f>
        <v>7.7264398254163494E-2</v>
      </c>
      <c r="F20" s="15">
        <f>'IDEAL SOLUTION'!F19</f>
        <v>2.8974149345311305E-2</v>
      </c>
      <c r="G20">
        <f t="shared" si="0"/>
        <v>0</v>
      </c>
      <c r="H20">
        <f t="shared" si="1"/>
        <v>3.7311170234862433E-4</v>
      </c>
      <c r="I20">
        <f t="shared" si="2"/>
        <v>2.3319481396788999E-3</v>
      </c>
      <c r="J20">
        <f t="shared" si="3"/>
        <v>2.3319481396788999E-3</v>
      </c>
      <c r="K20">
        <f t="shared" si="4"/>
        <v>8.3950133028440354E-4</v>
      </c>
      <c r="L20">
        <f t="shared" si="5"/>
        <v>0</v>
      </c>
    </row>
    <row r="21" spans="1:12" ht="14.5" x14ac:dyDescent="0.35">
      <c r="B21" s="11">
        <f>'IDEAL SOLUTION'!B20</f>
        <v>0</v>
      </c>
      <c r="C21" s="12">
        <f>'IDEAL SOLUTION'!C20</f>
        <v>0</v>
      </c>
      <c r="D21" s="13">
        <f>'IDEAL SOLUTION'!D20</f>
        <v>0</v>
      </c>
      <c r="E21" s="14">
        <f>'IDEAL SOLUTION'!E20</f>
        <v>0</v>
      </c>
      <c r="F21" s="15">
        <f>'IDEAL SOLUTION'!F20</f>
        <v>0</v>
      </c>
      <c r="G21">
        <f t="shared" si="0"/>
        <v>0</v>
      </c>
      <c r="H21">
        <f t="shared" si="1"/>
        <v>0</v>
      </c>
      <c r="I21">
        <f t="shared" si="2"/>
        <v>0</v>
      </c>
      <c r="J21">
        <f t="shared" si="3"/>
        <v>0</v>
      </c>
      <c r="K21">
        <f t="shared" si="4"/>
        <v>0</v>
      </c>
      <c r="L21">
        <f t="shared" si="5"/>
        <v>0</v>
      </c>
    </row>
    <row r="22" spans="1:12" ht="14.5" x14ac:dyDescent="0.35">
      <c r="A22" t="s">
        <v>44</v>
      </c>
      <c r="B22" s="11">
        <f>'IDEAL SOLUTION'!B21</f>
        <v>3.3150297756329931E-2</v>
      </c>
      <c r="C22" s="12">
        <f>'IDEAL SOLUTION'!C21</f>
        <v>3.3150297756329931E-2</v>
      </c>
      <c r="D22" s="13">
        <f>'IDEAL SOLUTION'!D21</f>
        <v>3.3150297756329931E-2</v>
      </c>
      <c r="E22" s="14">
        <f>'IDEAL SOLUTION'!E21</f>
        <v>3.3150297756329931E-2</v>
      </c>
      <c r="F22" s="15">
        <f>'IDEAL SOLUTION'!F21</f>
        <v>3.3150297756329931E-2</v>
      </c>
      <c r="G22">
        <f t="shared" si="0"/>
        <v>0</v>
      </c>
      <c r="H22">
        <f t="shared" si="1"/>
        <v>0</v>
      </c>
      <c r="I22">
        <f t="shared" si="2"/>
        <v>0</v>
      </c>
      <c r="J22">
        <f t="shared" si="3"/>
        <v>0</v>
      </c>
      <c r="K22">
        <f t="shared" si="4"/>
        <v>0</v>
      </c>
      <c r="L22">
        <f t="shared" si="5"/>
        <v>0</v>
      </c>
    </row>
    <row r="23" spans="1:12" ht="14.5" x14ac:dyDescent="0.35">
      <c r="A23" t="s">
        <v>45</v>
      </c>
      <c r="B23" s="11">
        <f>'IDEAL SOLUTION'!B22</f>
        <v>5.3082959778100337E-3</v>
      </c>
      <c r="C23" s="12">
        <f>'IDEAL SOLUTION'!C22</f>
        <v>2.1233183911240135E-2</v>
      </c>
      <c r="D23" s="13">
        <f>'IDEAL SOLUTION'!D22</f>
        <v>5.3082959778100333E-2</v>
      </c>
      <c r="E23" s="14">
        <f>'IDEAL SOLUTION'!E22</f>
        <v>5.3082959778100337E-3</v>
      </c>
      <c r="F23" s="15">
        <f>'IDEAL SOLUTION'!F22</f>
        <v>5.3082959778100333E-2</v>
      </c>
      <c r="G23">
        <f t="shared" si="0"/>
        <v>0</v>
      </c>
      <c r="H23">
        <f t="shared" si="1"/>
        <v>2.5360205569230771E-4</v>
      </c>
      <c r="I23">
        <f t="shared" si="2"/>
        <v>2.2824185012307687E-3</v>
      </c>
      <c r="J23">
        <f t="shared" si="3"/>
        <v>2.2824185012307687E-3</v>
      </c>
      <c r="K23">
        <f t="shared" si="4"/>
        <v>1.0144082227692302E-3</v>
      </c>
      <c r="L23">
        <f t="shared" si="5"/>
        <v>0</v>
      </c>
    </row>
    <row r="24" spans="1:12" ht="14.5" x14ac:dyDescent="0.35">
      <c r="A24" t="s">
        <v>46</v>
      </c>
      <c r="B24" s="11">
        <f>'IDEAL SOLUTION'!B23</f>
        <v>1.3703792442840619E-2</v>
      </c>
      <c r="C24" s="12">
        <f>'IDEAL SOLUTION'!C23</f>
        <v>4.5679308142802064E-2</v>
      </c>
      <c r="D24" s="13">
        <f>'IDEAL SOLUTION'!D23</f>
        <v>3.1975515699961446E-2</v>
      </c>
      <c r="E24" s="14">
        <f>'IDEAL SOLUTION'!E23</f>
        <v>1.3703792442840619E-2</v>
      </c>
      <c r="F24" s="15">
        <f>'IDEAL SOLUTION'!F23</f>
        <v>4.5679308142802064E-2</v>
      </c>
      <c r="G24">
        <f t="shared" si="0"/>
        <v>0</v>
      </c>
      <c r="H24">
        <f t="shared" si="1"/>
        <v>1.0224336042784809E-3</v>
      </c>
      <c r="I24">
        <f t="shared" si="2"/>
        <v>3.3385587078481018E-4</v>
      </c>
      <c r="J24">
        <f t="shared" si="3"/>
        <v>1.0224336042784809E-3</v>
      </c>
      <c r="K24">
        <f t="shared" si="4"/>
        <v>0</v>
      </c>
      <c r="L24">
        <f t="shared" si="5"/>
        <v>1.8779392731645562E-4</v>
      </c>
    </row>
    <row r="28" spans="1:12" ht="41.25" customHeight="1" x14ac:dyDescent="0.35">
      <c r="A28" s="4" t="s">
        <v>102</v>
      </c>
      <c r="B28" s="4" t="s">
        <v>103</v>
      </c>
      <c r="C28" s="4" t="s">
        <v>104</v>
      </c>
      <c r="D28" s="16" t="s">
        <v>105</v>
      </c>
      <c r="E28" s="16" t="s">
        <v>106</v>
      </c>
    </row>
    <row r="29" spans="1:12" ht="14.5" x14ac:dyDescent="0.35">
      <c r="A29" t="s">
        <v>78</v>
      </c>
      <c r="B29">
        <f>SQRT(SUM(G3:G24))</f>
        <v>0.28448208281690857</v>
      </c>
      <c r="C29">
        <f>SQRT(SUM(J3:J24))</f>
        <v>0.2224149849449038</v>
      </c>
      <c r="D29">
        <f>C29/(B29+C29)</f>
        <v>0.43877741476582222</v>
      </c>
      <c r="E29">
        <f>RANK(D29,$D$29:$D$31,0)</f>
        <v>3</v>
      </c>
    </row>
    <row r="30" spans="1:12" ht="14.5" x14ac:dyDescent="0.35">
      <c r="A30" t="s">
        <v>79</v>
      </c>
      <c r="B30">
        <f>SQRT(SUM(H3:H24))</f>
        <v>0.24360862073778528</v>
      </c>
      <c r="C30">
        <f>SQRT(SUM(K3:K24))</f>
        <v>0.20841480275641644</v>
      </c>
      <c r="D30">
        <f>C30/(C30+B30)</f>
        <v>0.46107080280340795</v>
      </c>
      <c r="E30">
        <f>RANK(D30,$D$29:$D$31,0)</f>
        <v>2</v>
      </c>
    </row>
    <row r="31" spans="1:12" ht="14.5" x14ac:dyDescent="0.35">
      <c r="A31" t="s">
        <v>80</v>
      </c>
      <c r="B31">
        <f>SQRT(SUM(I3:I24))</f>
        <v>0.23093854499078009</v>
      </c>
      <c r="C31">
        <f>SQRT(SUM(L3:L24))</f>
        <v>0.27004235702741908</v>
      </c>
      <c r="D31">
        <f>C31/(B31+C31)</f>
        <v>0.53902724822354442</v>
      </c>
      <c r="E31">
        <f>RANK(D31,$D$29:$D$31,0)</f>
        <v>1</v>
      </c>
    </row>
  </sheetData>
  <mergeCells count="2">
    <mergeCell ref="G1:I1"/>
    <mergeCell ref="J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zoomScaleNormal="100" workbookViewId="0">
      <selection activeCell="D2" sqref="D2"/>
    </sheetView>
  </sheetViews>
  <sheetFormatPr defaultColWidth="8.6328125" defaultRowHeight="15" customHeight="1" x14ac:dyDescent="0.35"/>
  <cols>
    <col min="1" max="1" width="13.54296875" customWidth="1"/>
    <col min="2" max="2" width="11.453125" customWidth="1"/>
    <col min="3" max="3" width="11.54296875" customWidth="1"/>
    <col min="4" max="4" width="13.26953125" customWidth="1"/>
  </cols>
  <sheetData>
    <row r="1" spans="1:6" ht="41.25" customHeight="1" x14ac:dyDescent="0.35">
      <c r="A1" s="4" t="s">
        <v>107</v>
      </c>
      <c r="B1" s="4" t="s">
        <v>103</v>
      </c>
      <c r="C1" s="4" t="s">
        <v>104</v>
      </c>
      <c r="D1" s="16" t="s">
        <v>105</v>
      </c>
      <c r="E1" s="4" t="s">
        <v>106</v>
      </c>
    </row>
    <row r="2" spans="1:6" ht="14.5" x14ac:dyDescent="0.35">
      <c r="A2" t="s">
        <v>78</v>
      </c>
      <c r="B2">
        <f>'SEPERATIONMEASURES '!B29</f>
        <v>0.28448208281690857</v>
      </c>
      <c r="C2">
        <f>'SEPERATIONMEASURES '!C29</f>
        <v>0.2224149849449038</v>
      </c>
      <c r="D2">
        <f>'SEPERATIONMEASURES '!D29</f>
        <v>0.43877741476582222</v>
      </c>
      <c r="E2">
        <f>D2/(C2+D2)</f>
        <v>0.66361533338524281</v>
      </c>
      <c r="F2">
        <f>RANK(E2,$E$2:$E$4,0)</f>
        <v>3</v>
      </c>
    </row>
    <row r="3" spans="1:6" ht="14.5" x14ac:dyDescent="0.35">
      <c r="A3" t="s">
        <v>79</v>
      </c>
      <c r="B3">
        <f>'SEPERATIONMEASURES '!B30</f>
        <v>0.24360862073778528</v>
      </c>
      <c r="C3">
        <f>'SEPERATIONMEASURES '!C30</f>
        <v>0.20841480275641644</v>
      </c>
      <c r="D3">
        <f>'SEPERATIONMEASURES '!D30</f>
        <v>0.46107080280340795</v>
      </c>
      <c r="E3">
        <f>D3/(C3+D3)</f>
        <v>0.68869412422670417</v>
      </c>
      <c r="F3">
        <f>RANK(E3,$E$2:$E$4,0)</f>
        <v>1</v>
      </c>
    </row>
    <row r="4" spans="1:6" ht="14.5" x14ac:dyDescent="0.35">
      <c r="A4" t="s">
        <v>108</v>
      </c>
      <c r="B4">
        <f>'SEPERATIONMEASURES '!B31</f>
        <v>0.23093854499078009</v>
      </c>
      <c r="C4">
        <f>'SEPERATIONMEASURES '!C31</f>
        <v>0.27004235702741908</v>
      </c>
      <c r="D4">
        <f>'SEPERATIONMEASURES '!D31</f>
        <v>0.53902724822354442</v>
      </c>
      <c r="E4">
        <f>D4/(C4+D4)</f>
        <v>0.66623099511486994</v>
      </c>
      <c r="F4">
        <f>RANK(E4,$E$2:$E$4,0)</f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5" customHeight="1" x14ac:dyDescent="0.35"/>
  <cols>
    <col min="1" max="1" width="34" customWidth="1"/>
    <col min="2" max="2" width="14" customWidth="1"/>
    <col min="3" max="5" width="18" customWidth="1"/>
    <col min="7" max="7" width="70" customWidth="1"/>
  </cols>
  <sheetData>
    <row r="1" spans="1:7" x14ac:dyDescent="0.35">
      <c r="A1" s="17" t="s">
        <v>16</v>
      </c>
      <c r="B1" s="17" t="s">
        <v>109</v>
      </c>
      <c r="C1" s="17" t="s">
        <v>78</v>
      </c>
      <c r="D1" s="17" t="s">
        <v>79</v>
      </c>
      <c r="E1" s="17" t="s">
        <v>80</v>
      </c>
      <c r="G1" t="s">
        <v>110</v>
      </c>
    </row>
    <row r="2" spans="1:7" x14ac:dyDescent="0.35">
      <c r="A2" t="s">
        <v>32</v>
      </c>
      <c r="B2" t="s">
        <v>111</v>
      </c>
      <c r="C2">
        <v>5</v>
      </c>
      <c r="D2">
        <v>7</v>
      </c>
      <c r="E2">
        <v>10</v>
      </c>
      <c r="G2" t="s">
        <v>112</v>
      </c>
    </row>
    <row r="3" spans="1:7" x14ac:dyDescent="0.35">
      <c r="A3" t="s">
        <v>33</v>
      </c>
      <c r="B3" t="s">
        <v>111</v>
      </c>
      <c r="C3">
        <v>3</v>
      </c>
      <c r="D3">
        <v>5</v>
      </c>
      <c r="E3">
        <v>5</v>
      </c>
      <c r="G3" t="s">
        <v>113</v>
      </c>
    </row>
    <row r="4" spans="1:7" x14ac:dyDescent="0.35">
      <c r="A4" t="s">
        <v>34</v>
      </c>
      <c r="B4" t="s">
        <v>111</v>
      </c>
      <c r="C4">
        <v>10</v>
      </c>
      <c r="D4">
        <v>5</v>
      </c>
      <c r="E4">
        <v>5</v>
      </c>
      <c r="G4" t="s">
        <v>114</v>
      </c>
    </row>
    <row r="5" spans="1:7" x14ac:dyDescent="0.35">
      <c r="A5" t="s">
        <v>35</v>
      </c>
      <c r="B5" t="s">
        <v>111</v>
      </c>
      <c r="C5">
        <v>10</v>
      </c>
      <c r="D5">
        <v>10</v>
      </c>
      <c r="E5">
        <v>10</v>
      </c>
    </row>
    <row r="6" spans="1:7" x14ac:dyDescent="0.35">
      <c r="A6" t="s">
        <v>36</v>
      </c>
      <c r="B6" t="s">
        <v>111</v>
      </c>
      <c r="C6">
        <v>10</v>
      </c>
      <c r="D6">
        <v>3</v>
      </c>
      <c r="E6">
        <v>4</v>
      </c>
    </row>
    <row r="7" spans="1:7" x14ac:dyDescent="0.35">
      <c r="A7" t="s">
        <v>37</v>
      </c>
      <c r="B7" t="s">
        <v>111</v>
      </c>
      <c r="C7">
        <v>10</v>
      </c>
      <c r="D7">
        <v>10</v>
      </c>
      <c r="E7">
        <v>10</v>
      </c>
    </row>
    <row r="8" spans="1:7" x14ac:dyDescent="0.35">
      <c r="A8" t="s">
        <v>38</v>
      </c>
      <c r="B8" t="s">
        <v>111</v>
      </c>
      <c r="C8">
        <v>3</v>
      </c>
      <c r="D8">
        <v>5</v>
      </c>
      <c r="E8">
        <v>7</v>
      </c>
    </row>
    <row r="9" spans="1:7" x14ac:dyDescent="0.35">
      <c r="A9" t="s">
        <v>39</v>
      </c>
      <c r="B9" t="s">
        <v>111</v>
      </c>
      <c r="C9">
        <v>3</v>
      </c>
      <c r="D9">
        <v>5</v>
      </c>
      <c r="E9">
        <v>7</v>
      </c>
    </row>
    <row r="10" spans="1:7" x14ac:dyDescent="0.35">
      <c r="A10" t="s">
        <v>40</v>
      </c>
      <c r="B10" t="s">
        <v>111</v>
      </c>
      <c r="C10">
        <v>3</v>
      </c>
      <c r="D10">
        <v>8</v>
      </c>
      <c r="E10">
        <v>8</v>
      </c>
    </row>
    <row r="11" spans="1:7" x14ac:dyDescent="0.35">
      <c r="A11" t="s">
        <v>41</v>
      </c>
      <c r="B11" t="s">
        <v>111</v>
      </c>
      <c r="C11">
        <v>3</v>
      </c>
      <c r="D11">
        <v>10</v>
      </c>
      <c r="E11">
        <v>5</v>
      </c>
    </row>
    <row r="12" spans="1:7" x14ac:dyDescent="0.35">
      <c r="A12" t="s">
        <v>42</v>
      </c>
      <c r="B12" t="s">
        <v>111</v>
      </c>
      <c r="C12">
        <v>10</v>
      </c>
      <c r="D12">
        <v>6</v>
      </c>
      <c r="E12">
        <v>6</v>
      </c>
    </row>
    <row r="13" spans="1:7" x14ac:dyDescent="0.35">
      <c r="A13" t="s">
        <v>43</v>
      </c>
      <c r="B13" t="s">
        <v>111</v>
      </c>
      <c r="C13">
        <v>6</v>
      </c>
      <c r="D13">
        <v>8</v>
      </c>
      <c r="E13">
        <v>8</v>
      </c>
    </row>
    <row r="14" spans="1:7" x14ac:dyDescent="0.35">
      <c r="A14" t="s">
        <v>44</v>
      </c>
      <c r="B14" t="s">
        <v>111</v>
      </c>
      <c r="C14">
        <v>8</v>
      </c>
      <c r="D14">
        <v>6</v>
      </c>
      <c r="E14">
        <v>3</v>
      </c>
    </row>
    <row r="15" spans="1:7" x14ac:dyDescent="0.35">
      <c r="A15" t="s">
        <v>45</v>
      </c>
      <c r="B15" t="s">
        <v>111</v>
      </c>
      <c r="C15">
        <v>8</v>
      </c>
      <c r="D15">
        <v>8</v>
      </c>
      <c r="E15">
        <v>3</v>
      </c>
    </row>
    <row r="16" spans="1:7" x14ac:dyDescent="0.35">
      <c r="A16" t="s">
        <v>46</v>
      </c>
      <c r="B16" t="s">
        <v>111</v>
      </c>
      <c r="C16">
        <v>8</v>
      </c>
      <c r="D16">
        <v>6</v>
      </c>
      <c r="E16">
        <v>3</v>
      </c>
    </row>
    <row r="17" spans="1:5" x14ac:dyDescent="0.35">
      <c r="A17" t="s">
        <v>47</v>
      </c>
      <c r="B17" t="s">
        <v>115</v>
      </c>
      <c r="C17">
        <v>5</v>
      </c>
      <c r="D17">
        <v>5</v>
      </c>
      <c r="E17">
        <v>5</v>
      </c>
    </row>
    <row r="18" spans="1:5" x14ac:dyDescent="0.35">
      <c r="A18" t="s">
        <v>48</v>
      </c>
      <c r="B18" t="s">
        <v>115</v>
      </c>
      <c r="C18">
        <v>1</v>
      </c>
      <c r="D18">
        <v>4</v>
      </c>
      <c r="E18">
        <v>10</v>
      </c>
    </row>
    <row r="19" spans="1:5" x14ac:dyDescent="0.35">
      <c r="A19" t="s">
        <v>49</v>
      </c>
      <c r="B19" t="s">
        <v>115</v>
      </c>
      <c r="C19">
        <v>3</v>
      </c>
      <c r="D19">
        <v>10</v>
      </c>
      <c r="E19">
        <v>7</v>
      </c>
    </row>
  </sheetData>
  <dataValidations count="1">
    <dataValidation type="whole" sqref="C2:E19" xr:uid="{00000000-0002-0000-0B00-000000000000}">
      <formula1>1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4"/>
  <sheetViews>
    <sheetView zoomScaleNormal="100" workbookViewId="0"/>
  </sheetViews>
  <sheetFormatPr defaultColWidth="8.6328125" defaultRowHeight="15" customHeight="1" x14ac:dyDescent="0.35"/>
  <cols>
    <col min="1" max="1" width="32" customWidth="1"/>
    <col min="2" max="2" width="28" customWidth="1"/>
  </cols>
  <sheetData>
    <row r="1" spans="1:4" x14ac:dyDescent="0.35">
      <c r="A1" s="17" t="s">
        <v>116</v>
      </c>
      <c r="B1" s="17" t="s">
        <v>117</v>
      </c>
      <c r="D1" t="s">
        <v>118</v>
      </c>
    </row>
    <row r="2" spans="1:4" x14ac:dyDescent="0.35">
      <c r="A2" t="s">
        <v>119</v>
      </c>
      <c r="B2">
        <f>'SEPERATIONMEASURES '!D29</f>
        <v>0.43877741476582222</v>
      </c>
      <c r="C2">
        <f>'RELATIVE CLOSENESS'!E2</f>
        <v>0.66361533338524281</v>
      </c>
    </row>
    <row r="3" spans="1:4" x14ac:dyDescent="0.35">
      <c r="A3" t="s">
        <v>120</v>
      </c>
      <c r="B3">
        <f>'SEPERATIONMEASURES '!D30</f>
        <v>0.46107080280340795</v>
      </c>
      <c r="C3">
        <f>'RELATIVE CLOSENESS'!E3</f>
        <v>0.68869412422670417</v>
      </c>
    </row>
    <row r="4" spans="1:4" x14ac:dyDescent="0.35">
      <c r="A4" t="s">
        <v>121</v>
      </c>
      <c r="B4">
        <f>'SEPERATIONMEASURES '!D31</f>
        <v>0.53902724822354442</v>
      </c>
      <c r="C4">
        <f>'RELATIVE CLOSENESS'!E4</f>
        <v>0.66623099511486994</v>
      </c>
    </row>
    <row r="5" spans="1:4" x14ac:dyDescent="0.35">
      <c r="A5" t="s">
        <v>122</v>
      </c>
      <c r="B5" t="str">
        <f>INDEX('SEPERATIONMEASURES '!A29:A31,MATCH(1,'SEPERATIONMEASURES '!E29:E31,0))</f>
        <v>ALTERNATIVE C</v>
      </c>
      <c r="C5">
        <f>INDEX('RELATIVE CLOSENESS'!B2:B4,MATCH(MAX('RELATIVE CLOSENESS'!E2:E4),'RELATIVE CLOSENESS'!E2:E4,0))</f>
        <v>0.24360862073778528</v>
      </c>
    </row>
    <row r="6" spans="1:4" x14ac:dyDescent="0.35">
      <c r="A6" t="s">
        <v>123</v>
      </c>
      <c r="B6" t="str">
        <f>INDEX('SEPERATIONMEASURES '!A29:A31,MATCH(1,'SEPERATIONMEASURES '!E29:E31,0))</f>
        <v>ALTERNATIVE C</v>
      </c>
      <c r="C6">
        <f>INDEX('RELATIVE CLOSENESS'!B2:B4,MATCH(1,'RELATIVE CLOSENESS'!F2:F4,0))</f>
        <v>0.24360862073778528</v>
      </c>
    </row>
    <row r="7" spans="1:4" x14ac:dyDescent="0.35">
      <c r="A7" t="s">
        <v>124</v>
      </c>
      <c r="B7" t="str">
        <f>INDEX('SEPERATIONMEASURES '!A29:A31,MATCH(2,'SEPERATIONMEASURES '!E29:E31,0))</f>
        <v>ALTERNATIVE B</v>
      </c>
      <c r="C7">
        <f>INDEX('RELATIVE CLOSENESS'!B2:B4,MATCH(2,'RELATIVE CLOSENESS'!F2:F4,0))</f>
        <v>0.23093854499078009</v>
      </c>
    </row>
    <row r="8" spans="1:4" x14ac:dyDescent="0.35">
      <c r="A8" t="s">
        <v>125</v>
      </c>
      <c r="B8" t="str">
        <f>INDEX('SEPERATIONMEASURES '!A29:A31,MATCH(3,'SEPERATIONMEASURES '!E29:E31,0))</f>
        <v>ALTERNATIVE A</v>
      </c>
      <c r="C8">
        <f>'RELATIVE CLOSENESS'!F2</f>
        <v>3</v>
      </c>
    </row>
    <row r="9" spans="1:4" x14ac:dyDescent="0.35">
      <c r="A9" t="s">
        <v>126</v>
      </c>
      <c r="B9">
        <f>'SEPERATIONMEASURES '!E29</f>
        <v>3</v>
      </c>
      <c r="C9">
        <f>'RELATIVE CLOSENESS'!F3</f>
        <v>1</v>
      </c>
    </row>
    <row r="10" spans="1:4" x14ac:dyDescent="0.35">
      <c r="A10" t="s">
        <v>127</v>
      </c>
      <c r="B10">
        <f>'SEPERATIONMEASURES '!E30</f>
        <v>2</v>
      </c>
      <c r="C10">
        <f>'RELATIVE CLOSENESS'!F4</f>
        <v>2</v>
      </c>
    </row>
    <row r="11" spans="1:4" x14ac:dyDescent="0.35">
      <c r="A11" t="s">
        <v>128</v>
      </c>
      <c r="B11">
        <f>'SEPERATIONMEASURES '!E31</f>
        <v>1</v>
      </c>
      <c r="C11">
        <f>'RELATIVE CLOSENESS'!C2</f>
        <v>0.2224149849449038</v>
      </c>
    </row>
    <row r="12" spans="1:4" x14ac:dyDescent="0.35">
      <c r="A12" t="s">
        <v>129</v>
      </c>
      <c r="B12">
        <f>'SEPERATIONMEASURES '!B29</f>
        <v>0.28448208281690857</v>
      </c>
      <c r="C12">
        <f>'RELATIVE CLOSENESS'!D2</f>
        <v>0.43877741476582222</v>
      </c>
    </row>
    <row r="13" spans="1:4" x14ac:dyDescent="0.35">
      <c r="A13" t="s">
        <v>130</v>
      </c>
      <c r="B13">
        <f>'SEPERATIONMEASURES '!C29</f>
        <v>0.2224149849449038</v>
      </c>
      <c r="C13">
        <f>'RELATIVE CLOSENESS'!C3</f>
        <v>0.20841480275641644</v>
      </c>
    </row>
    <row r="14" spans="1:4" x14ac:dyDescent="0.35">
      <c r="A14" t="s">
        <v>131</v>
      </c>
      <c r="B14">
        <f>'SEPERATIONMEASURES '!B30</f>
        <v>0.24360862073778528</v>
      </c>
      <c r="C14">
        <f>'RELATIVE CLOSENESS'!D3</f>
        <v>0.46107080280340795</v>
      </c>
    </row>
    <row r="15" spans="1:4" x14ac:dyDescent="0.35">
      <c r="A15" t="s">
        <v>132</v>
      </c>
      <c r="B15">
        <f>'SEPERATIONMEASURES '!C30</f>
        <v>0.20841480275641644</v>
      </c>
      <c r="C15">
        <f>'RELATIVE CLOSENESS'!C4</f>
        <v>0.27004235702741908</v>
      </c>
    </row>
    <row r="16" spans="1:4" x14ac:dyDescent="0.35">
      <c r="A16" t="s">
        <v>133</v>
      </c>
      <c r="B16">
        <f>'SEPERATIONMEASURES '!B31</f>
        <v>0.23093854499078009</v>
      </c>
      <c r="C16">
        <f>'RELATIVE CLOSENESS'!D4</f>
        <v>0.53902724822354442</v>
      </c>
    </row>
    <row r="17" spans="1:3" x14ac:dyDescent="0.35">
      <c r="A17" t="s">
        <v>134</v>
      </c>
      <c r="B17">
        <f>'SEPERATIONMEASURES '!C31</f>
        <v>0.27004235702741908</v>
      </c>
    </row>
    <row r="18" spans="1:3" x14ac:dyDescent="0.35">
      <c r="A18" t="s">
        <v>135</v>
      </c>
      <c r="B18">
        <f>'CONSISTENCY CHECK'!B25</f>
        <v>5.4209884002366845E-8</v>
      </c>
      <c r="C18">
        <f>'CONSISTENCY CHECK'!B25</f>
        <v>5.4209884002366845E-8</v>
      </c>
    </row>
    <row r="19" spans="1:3" x14ac:dyDescent="0.35">
      <c r="A19" t="s">
        <v>136</v>
      </c>
      <c r="B19" t="str">
        <f>'CONSISTENCY CHECK'!B26</f>
        <v>CONSISTENT</v>
      </c>
      <c r="C19" t="str">
        <f>'CONSISTENCY CHECK'!B26</f>
        <v>CONSISTENT</v>
      </c>
    </row>
    <row r="20" spans="1:3" x14ac:dyDescent="0.35">
      <c r="A20" t="s">
        <v>137</v>
      </c>
      <c r="B20">
        <f>EIGENVECTOR!B13</f>
        <v>0.47354696708837596</v>
      </c>
      <c r="C20">
        <f>EIGENVECTOR!B13</f>
        <v>0.47354696708837596</v>
      </c>
    </row>
    <row r="21" spans="1:3" x14ac:dyDescent="0.35">
      <c r="A21" t="s">
        <v>138</v>
      </c>
      <c r="B21">
        <f>EIGENVECTOR!B14</f>
        <v>0.20847130047761858</v>
      </c>
      <c r="C21">
        <f>EIGENVECTOR!B14</f>
        <v>0.20847130047761858</v>
      </c>
    </row>
    <row r="22" spans="1:3" x14ac:dyDescent="0.35">
      <c r="A22" t="s">
        <v>139</v>
      </c>
      <c r="B22">
        <f>EIGENVECTOR!B15</f>
        <v>0.15621469104281613</v>
      </c>
      <c r="C22">
        <f>EIGENVECTOR!B15</f>
        <v>0.15621469104281613</v>
      </c>
    </row>
    <row r="23" spans="1:3" x14ac:dyDescent="0.35">
      <c r="A23" t="s">
        <v>140</v>
      </c>
      <c r="B23">
        <f>EIGENVECTOR!B16</f>
        <v>0.10434934234044142</v>
      </c>
      <c r="C23">
        <f>EIGENVECTOR!B16</f>
        <v>0.10434934234044142</v>
      </c>
    </row>
    <row r="24" spans="1:3" x14ac:dyDescent="0.35">
      <c r="A24" t="s">
        <v>141</v>
      </c>
      <c r="B24">
        <f>EIGENVECTOR!B17</f>
        <v>5.7417699050747929E-2</v>
      </c>
      <c r="C24">
        <f>EIGENVECTOR!B17</f>
        <v>5.7417699050747929E-2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zoomScaleNormal="100" workbookViewId="0"/>
  </sheetViews>
  <sheetFormatPr defaultColWidth="8.6328125" defaultRowHeight="15" customHeight="1" x14ac:dyDescent="0.35"/>
  <cols>
    <col min="1" max="1" width="32" customWidth="1"/>
    <col min="2" max="2" width="110" customWidth="1"/>
  </cols>
  <sheetData>
    <row r="1" spans="1:2" x14ac:dyDescent="0.35">
      <c r="A1" t="s">
        <v>142</v>
      </c>
    </row>
    <row r="3" spans="1:2" x14ac:dyDescent="0.35">
      <c r="A3" t="s">
        <v>143</v>
      </c>
      <c r="B3" t="s">
        <v>144</v>
      </c>
    </row>
    <row r="4" spans="1:2" x14ac:dyDescent="0.35">
      <c r="A4" t="s">
        <v>145</v>
      </c>
      <c r="B4" t="s">
        <v>146</v>
      </c>
    </row>
    <row r="5" spans="1:2" x14ac:dyDescent="0.35">
      <c r="A5" t="s">
        <v>147</v>
      </c>
      <c r="B5" t="s">
        <v>148</v>
      </c>
    </row>
    <row r="6" spans="1:2" x14ac:dyDescent="0.35">
      <c r="A6" t="s">
        <v>149</v>
      </c>
      <c r="B6" t="s">
        <v>150</v>
      </c>
    </row>
    <row r="7" spans="1:2" x14ac:dyDescent="0.35">
      <c r="A7" t="s">
        <v>151</v>
      </c>
      <c r="B7" t="s">
        <v>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 </vt:lpstr>
      <vt:lpstr>AHP PAIRWISE</vt:lpstr>
      <vt:lpstr>NORMALIZATION </vt:lpstr>
      <vt:lpstr>EIGENVECTOR</vt:lpstr>
      <vt:lpstr>CONSISTENCY CHECK</vt:lpstr>
      <vt:lpstr>DECISION MATRIX</vt:lpstr>
      <vt:lpstr>NORMALIZED DECISION MATRIX</vt:lpstr>
      <vt:lpstr>WEIGHTED NORMALISED MATRIX</vt:lpstr>
      <vt:lpstr>IDEAL SOLUTION</vt:lpstr>
      <vt:lpstr>SEPERATIONMEASURES </vt:lpstr>
      <vt:lpstr>RELATIVE CLOSENESS</vt:lpstr>
      <vt:lpstr>CHATBOT_INPUT</vt:lpstr>
      <vt:lpstr>CHATBOT_OUTPUT</vt:lpstr>
      <vt:lpstr>MODEL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 Jegbefume</cp:lastModifiedBy>
  <dcterms:modified xsi:type="dcterms:W3CDTF">2026-08-25T13:26:36Z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2026-07-06T23:10:16Z</dcterms:created>
  <dc:creator>Jegbefume Glory</dc:creator>
  <dc:description/>
  <dc:language>en-US</dc:language>
  <cp:lastModifiedBy/>
  <dcterms:modified xsi:type="dcterms:W3CDTF">2026-08-25T13:23:53Z</dcterms:modified>
  <cp:revision>0</cp:revision>
  <dc:subject/>
  <dc:title/>
</cp:coreProperties>
</file>