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NOTES" sheetId="1" state="visible" r:id="rId1"/>
    <sheet xmlns:r="http://schemas.openxmlformats.org/officeDocument/2006/relationships" name="AHP_CRITERIA" sheetId="2" state="visible" r:id="rId2"/>
    <sheet xmlns:r="http://schemas.openxmlformats.org/officeDocument/2006/relationships" name="CHATBOT_INPUT" sheetId="3" state="visible" r:id="rId3"/>
    <sheet xmlns:r="http://schemas.openxmlformats.org/officeDocument/2006/relationships" name="TOPSIS" sheetId="4" state="visible" r:id="rId4"/>
    <sheet xmlns:r="http://schemas.openxmlformats.org/officeDocument/2006/relationships" name="CHATBOT_OUTPUT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00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ENGINEERAI DSS MODEL NOTE</t>
        </is>
      </c>
      <c r="B1" s="1" t="inlineStr">
        <is>
          <t>VALUE</t>
        </is>
      </c>
      <c r="C1" s="1" t="n"/>
      <c r="D1" s="1" t="n"/>
    </row>
    <row r="2">
      <c r="A2" s="2" t="inlineStr">
        <is>
          <t>Excel calculation engine</t>
        </is>
      </c>
      <c r="B2" s="2" t="inlineStr">
        <is>
          <t>Excel remains the AHP-TOPSIS calculation engine. Node.js writes CHATBOT_INPUT and reads CHATBOT_OUTPUT.</t>
        </is>
      </c>
      <c r="C2" s="2" t="n"/>
      <c r="D2" s="2" t="n"/>
    </row>
    <row r="3">
      <c r="A3" s="2" t="inlineStr">
        <is>
          <t>Criterion structure</t>
        </is>
      </c>
      <c r="B3" s="2" t="inlineStr">
        <is>
          <t>7 major criteria and 19 TOPSIS sub-criteria.</t>
        </is>
      </c>
      <c r="C3" s="2" t="n"/>
      <c r="D3" s="2" t="n"/>
    </row>
    <row r="4">
      <c r="A4" s="2" t="inlineStr">
        <is>
          <t>Rating scale</t>
        </is>
      </c>
      <c r="B4" s="2" t="inlineStr">
        <is>
          <t>All 19 decision ratings use integer values from 1 to 9.</t>
        </is>
      </c>
      <c r="C4" s="2" t="n"/>
      <c r="D4" s="2" t="n"/>
    </row>
    <row r="5">
      <c r="A5" s="2" t="inlineStr">
        <is>
          <t>Financial handling</t>
        </is>
      </c>
      <c r="B5" s="2" t="inlineStr">
        <is>
          <t>Financial sub-criteria are expert ratings on 1-9; they are NOT entered as Naira amounts in the TOPSIS decision matrix.</t>
        </is>
      </c>
      <c r="C5" s="2" t="n"/>
      <c r="D5" s="2" t="n"/>
    </row>
    <row r="6">
      <c r="A6" s="2" t="inlineStr">
        <is>
          <t>Cost criteria</t>
        </is>
      </c>
      <c r="B6" s="2" t="inlineStr">
        <is>
          <t>Initial Capital Requirement and Operating and Maintenance Burden are COST criteria; lower is better.</t>
        </is>
      </c>
      <c r="C6" s="2" t="n"/>
      <c r="D6" s="2" t="n"/>
    </row>
    <row r="7">
      <c r="A7" s="2" t="inlineStr">
        <is>
          <t>Benefit criteria</t>
        </is>
      </c>
      <c r="B7" s="2" t="inlineStr">
        <is>
          <t>All other sub-criteria, including Funding/Financial Resilience, are BENEFIT criteria; higher is better.</t>
        </is>
      </c>
      <c r="C7" s="2" t="n"/>
      <c r="D7" s="2" t="n"/>
    </row>
    <row r="8">
      <c r="A8" s="2" t="inlineStr">
        <is>
          <t>AHP weights</t>
        </is>
      </c>
      <c r="B8" s="2" t="inlineStr">
        <is>
          <t>Final consistent 7-criterion weights are based on the adjusted AHP matrix documented in the project report.</t>
        </is>
      </c>
      <c r="C8" s="2" t="n"/>
      <c r="D8" s="2" t="n"/>
    </row>
    <row r="9">
      <c r="A9" s="2" t="inlineStr">
        <is>
          <t>Sub-criterion weights</t>
        </is>
      </c>
      <c r="B9" s="2" t="inlineStr">
        <is>
          <t>Each major criterion weight is distributed equally among its sub-criteria: 3 sub-criteria each for the first six criteria and 1 for Scale.</t>
        </is>
      </c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inlineStr">
        <is>
          <t>Major criterion</t>
        </is>
      </c>
      <c r="B12" s="2" t="inlineStr">
        <is>
          <t>AHP weight</t>
        </is>
      </c>
      <c r="C12" s="2" t="inlineStr">
        <is>
          <t>Sub-criteria count</t>
        </is>
      </c>
      <c r="D12" s="2" t="inlineStr">
        <is>
          <t>Sub-criterion weight</t>
        </is>
      </c>
    </row>
    <row r="13">
      <c r="A13" s="2" t="inlineStr">
        <is>
          <t>Technical</t>
        </is>
      </c>
      <c r="B13" s="2" t="n">
        <v>0.297932816</v>
      </c>
      <c r="C13" s="2" t="n">
        <v>3</v>
      </c>
      <c r="D13" s="2">
        <f>B13/C13</f>
        <v/>
      </c>
    </row>
    <row r="14">
      <c r="A14" s="2" t="inlineStr">
        <is>
          <t>Operational</t>
        </is>
      </c>
      <c r="B14" s="2" t="n">
        <v>0.182195881</v>
      </c>
      <c r="C14" s="2" t="n">
        <v>3</v>
      </c>
      <c r="D14" s="2">
        <f>B14/C14</f>
        <v/>
      </c>
    </row>
    <row r="15">
      <c r="A15" s="2" t="inlineStr">
        <is>
          <t>Environmental &amp; Safety</t>
        </is>
      </c>
      <c r="B15" s="2" t="n">
        <v>0.209518567</v>
      </c>
      <c r="C15" s="2" t="n">
        <v>3</v>
      </c>
      <c r="D15" s="2">
        <f>B15/C15</f>
        <v/>
      </c>
    </row>
    <row r="16">
      <c r="A16" s="2" t="inlineStr">
        <is>
          <t>Financial</t>
        </is>
      </c>
      <c r="B16" s="2" t="n">
        <v>0.102459793</v>
      </c>
      <c r="C16" s="2" t="n">
        <v>3</v>
      </c>
      <c r="D16" s="2">
        <f>B16/C16</f>
        <v/>
      </c>
    </row>
    <row r="17">
      <c r="A17" s="2" t="inlineStr">
        <is>
          <t>Regulatory</t>
        </is>
      </c>
      <c r="B17" s="2" t="n">
        <v>0.09201920500000001</v>
      </c>
      <c r="C17" s="2" t="n">
        <v>3</v>
      </c>
      <c r="D17" s="2">
        <f>B17/C17</f>
        <v/>
      </c>
    </row>
    <row r="18">
      <c r="A18" s="2" t="inlineStr">
        <is>
          <t>Commercial Feasibility</t>
        </is>
      </c>
      <c r="B18" s="2" t="n">
        <v>0.073697105</v>
      </c>
      <c r="C18" s="2" t="n">
        <v>3</v>
      </c>
      <c r="D18" s="2">
        <f>B18/C18</f>
        <v/>
      </c>
    </row>
    <row r="19">
      <c r="A19" s="2" t="inlineStr">
        <is>
          <t>Scale</t>
        </is>
      </c>
      <c r="B19" s="2" t="n">
        <v>0.042176633</v>
      </c>
      <c r="C19" s="2" t="n">
        <v>1</v>
      </c>
      <c r="D19" s="2">
        <f>B19/C19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AHP PAIRWISE COMPARISON - CONSISTENT ADJUSTED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inlineStr">
        <is>
          <t>Technical</t>
        </is>
      </c>
      <c r="C3" s="2" t="inlineStr">
        <is>
          <t>Operational</t>
        </is>
      </c>
      <c r="D3" s="2" t="inlineStr">
        <is>
          <t>Environmental &amp; Safety</t>
        </is>
      </c>
      <c r="E3" s="2" t="inlineStr">
        <is>
          <t>Financial</t>
        </is>
      </c>
      <c r="F3" s="2" t="inlineStr">
        <is>
          <t>Regulatory</t>
        </is>
      </c>
      <c r="G3" s="2" t="inlineStr">
        <is>
          <t>Commercial Feasibility</t>
        </is>
      </c>
      <c r="H3" s="2" t="inlineStr">
        <is>
          <t>Scale</t>
        </is>
      </c>
      <c r="I3" s="2" t="n"/>
    </row>
    <row r="4">
      <c r="A4" s="2" t="inlineStr">
        <is>
          <t>Technical</t>
        </is>
      </c>
      <c r="B4" s="3" t="n">
        <v>1</v>
      </c>
      <c r="C4" s="3" t="n">
        <v>1.635233542958087</v>
      </c>
      <c r="D4" s="3" t="n">
        <v>1.421987656110687</v>
      </c>
      <c r="E4" s="3" t="n">
        <v>2.907802243949487</v>
      </c>
      <c r="F4" s="3" t="n">
        <v>3.237724298965634</v>
      </c>
      <c r="G4" s="3" t="n">
        <v>4.0426664792328</v>
      </c>
      <c r="H4" s="3" t="n">
        <v>7.063930778922064</v>
      </c>
      <c r="I4" s="2" t="n">
        <v>0.297932816</v>
      </c>
    </row>
    <row r="5">
      <c r="A5" s="2" t="inlineStr">
        <is>
          <t>Operational</t>
        </is>
      </c>
      <c r="B5" s="3" t="n">
        <v>0.6115334438352035</v>
      </c>
      <c r="C5" s="3" t="n">
        <v>1</v>
      </c>
      <c r="D5" s="3" t="n">
        <v>0.8695930084325176</v>
      </c>
      <c r="E5" s="3" t="n">
        <v>1.778218320234163</v>
      </c>
      <c r="F5" s="3" t="n">
        <v>1.979976690735374</v>
      </c>
      <c r="G5" s="3" t="n">
        <v>2.472225754322372</v>
      </c>
      <c r="H5" s="3" t="n">
        <v>4.319829916247701</v>
      </c>
      <c r="I5" s="2" t="n">
        <v>0.182195881</v>
      </c>
    </row>
    <row r="6">
      <c r="A6" s="2" t="inlineStr">
        <is>
          <t>Environmental &amp; Safety</t>
        </is>
      </c>
      <c r="B6" s="3" t="n">
        <v>0.7032409850414061</v>
      </c>
      <c r="C6" s="3" t="n">
        <v>1.149963247522593</v>
      </c>
      <c r="D6" s="3" t="n">
        <v>1</v>
      </c>
      <c r="E6" s="3" t="n">
        <v>2.044885714340649</v>
      </c>
      <c r="F6" s="3" t="n">
        <v>2.276900425297089</v>
      </c>
      <c r="G6" s="3" t="n">
        <v>2.842968757049547</v>
      </c>
      <c r="H6" s="3" t="n">
        <v>4.967645639233459</v>
      </c>
      <c r="I6" s="2" t="n">
        <v>0.209518567</v>
      </c>
    </row>
    <row r="7">
      <c r="A7" s="2" t="inlineStr">
        <is>
          <t>Financial</t>
        </is>
      </c>
      <c r="B7" s="3" t="n">
        <v>0.3439023413922956</v>
      </c>
      <c r="C7" s="3" t="n">
        <v>0.5623606441465051</v>
      </c>
      <c r="D7" s="3" t="n">
        <v>0.4890248843674079</v>
      </c>
      <c r="E7" s="3" t="n">
        <v>1</v>
      </c>
      <c r="F7" s="3" t="n">
        <v>1.113460967197011</v>
      </c>
      <c r="G7" s="3" t="n">
        <v>1.390282467676308</v>
      </c>
      <c r="H7" s="3" t="n">
        <v>2.4293023343044</v>
      </c>
      <c r="I7" s="2" t="n">
        <v>0.102459793</v>
      </c>
    </row>
    <row r="8">
      <c r="A8" s="2" t="inlineStr">
        <is>
          <t>Regulatory</t>
        </is>
      </c>
      <c r="B8" s="3" t="n">
        <v>0.3088589106612546</v>
      </c>
      <c r="C8" s="3" t="n">
        <v>0.5050564507547786</v>
      </c>
      <c r="D8" s="3" t="n">
        <v>0.4391935584400976</v>
      </c>
      <c r="E8" s="3" t="n">
        <v>0.8981006334845905</v>
      </c>
      <c r="F8" s="3" t="n">
        <v>1</v>
      </c>
      <c r="G8" s="3" t="n">
        <v>1.248613564942612</v>
      </c>
      <c r="H8" s="3" t="n">
        <v>2.181757965364376</v>
      </c>
      <c r="I8" s="2" t="n">
        <v>0.09201920500000001</v>
      </c>
    </row>
    <row r="9">
      <c r="A9" s="2" t="inlineStr">
        <is>
          <t>Commercial Feasibility</t>
        </is>
      </c>
      <c r="B9" s="3" t="n">
        <v>0.2473614890412072</v>
      </c>
      <c r="C9" s="3" t="n">
        <v>0.4044938041162413</v>
      </c>
      <c r="D9" s="3" t="n">
        <v>0.3517449840137557</v>
      </c>
      <c r="E9" s="3" t="n">
        <v>0.7192782929007089</v>
      </c>
      <c r="F9" s="3" t="n">
        <v>0.800888303697038</v>
      </c>
      <c r="G9" s="3" t="n">
        <v>1</v>
      </c>
      <c r="H9" s="3" t="n">
        <v>1.747344435958176</v>
      </c>
      <c r="I9" s="2" t="n">
        <v>0.073697105</v>
      </c>
    </row>
    <row r="10">
      <c r="A10" s="2" t="inlineStr">
        <is>
          <t>Scale</t>
        </is>
      </c>
      <c r="B10" s="3" t="n">
        <v>0.1415642411140101</v>
      </c>
      <c r="C10" s="3" t="n">
        <v>0.2314905955530356</v>
      </c>
      <c r="D10" s="3" t="n">
        <v>0.2013026034107994</v>
      </c>
      <c r="E10" s="3" t="n">
        <v>0.4116408179743248</v>
      </c>
      <c r="F10" s="3" t="n">
        <v>0.4583459833194602</v>
      </c>
      <c r="G10" s="3" t="n">
        <v>0.5722970122096384</v>
      </c>
      <c r="H10" s="3" t="n">
        <v>1</v>
      </c>
      <c r="I10" s="2" t="n">
        <v>0.042176633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Column Sum</t>
        </is>
      </c>
      <c r="B12" s="2">
        <f>SUM(B4:B10)</f>
        <v/>
      </c>
      <c r="C12" s="2">
        <f>SUM(C4:C10)</f>
        <v/>
      </c>
      <c r="D12" s="2">
        <f>SUM(D4:D10)</f>
        <v/>
      </c>
      <c r="E12" s="2">
        <f>SUM(E4:E10)</f>
        <v/>
      </c>
      <c r="F12" s="2">
        <f>SUM(F4:F10)</f>
        <v/>
      </c>
      <c r="G12" s="2">
        <f>SUM(G4:G10)</f>
        <v/>
      </c>
      <c r="H12" s="2">
        <f>SUM(H4:H10)</f>
        <v/>
      </c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Priority Weight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Lambda max</t>
        </is>
      </c>
      <c r="B16" s="2" t="n">
        <v>7</v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Consistency Index</t>
        </is>
      </c>
      <c r="B17" s="2" t="n">
        <v>0</v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Random Index</t>
        </is>
      </c>
      <c r="B18" s="3" t="n">
        <v>1.32</v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Consistency Ratio</t>
        </is>
      </c>
      <c r="B19" s="2" t="n">
        <v>0</v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Decision</t>
        </is>
      </c>
      <c r="B20" s="2" t="inlineStr">
        <is>
          <t>CONSISTENT</t>
        </is>
      </c>
      <c r="C20" s="2" t="n"/>
      <c r="D20" s="2" t="n"/>
      <c r="E20" s="2" t="n"/>
      <c r="F20" s="2" t="n"/>
      <c r="G20" s="2" t="n"/>
      <c r="H20" s="2" t="n"/>
      <c r="I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Criterion</t>
        </is>
      </c>
      <c r="B1" s="1" t="inlineStr">
        <is>
          <t>Type</t>
        </is>
      </c>
      <c r="C1" s="1" t="inlineStr">
        <is>
          <t>Alternative 1</t>
        </is>
      </c>
      <c r="D1" s="1" t="inlineStr">
        <is>
          <t>Alternative 2</t>
        </is>
      </c>
      <c r="E1" s="1" t="inlineStr">
        <is>
          <t>Alternative 3</t>
        </is>
      </c>
      <c r="F1" s="1" t="inlineStr">
        <is>
          <t>CHATBOT INPUT</t>
        </is>
      </c>
    </row>
    <row r="2">
      <c r="A2" s="2" t="inlineStr">
        <is>
          <t>Technical Manpower</t>
        </is>
      </c>
      <c r="B2" s="2" t="inlineStr">
        <is>
          <t>benefit</t>
        </is>
      </c>
      <c r="C2" s="3" t="n">
        <v>4</v>
      </c>
      <c r="D2" s="3" t="n">
        <v>4</v>
      </c>
      <c r="E2" s="3" t="n">
        <v>4</v>
      </c>
      <c r="F2" s="2" t="n"/>
    </row>
    <row r="3">
      <c r="A3" s="2" t="inlineStr">
        <is>
          <t>Technical Tools and Facilities</t>
        </is>
      </c>
      <c r="B3" s="2" t="inlineStr">
        <is>
          <t>benefit</t>
        </is>
      </c>
      <c r="C3" s="3" t="n">
        <v>5</v>
      </c>
      <c r="D3" s="3" t="n">
        <v>4</v>
      </c>
      <c r="E3" s="3" t="n">
        <v>5</v>
      </c>
      <c r="F3" s="2" t="n"/>
    </row>
    <row r="4">
      <c r="A4" s="2" t="inlineStr">
        <is>
          <t>Service-Specific Capability</t>
        </is>
      </c>
      <c r="B4" s="2" t="inlineStr">
        <is>
          <t>benefit</t>
        </is>
      </c>
      <c r="C4" s="3" t="n">
        <v>4</v>
      </c>
      <c r="D4" s="3" t="n">
        <v>4</v>
      </c>
      <c r="E4" s="3" t="n">
        <v>4</v>
      </c>
      <c r="F4" s="2" t="n"/>
    </row>
    <row r="5">
      <c r="A5" s="2" t="inlineStr">
        <is>
          <t>Facilities and Utilities</t>
        </is>
      </c>
      <c r="B5" s="2" t="inlineStr">
        <is>
          <t>benefit</t>
        </is>
      </c>
      <c r="C5" s="3" t="n">
        <v>4</v>
      </c>
      <c r="D5" s="3" t="n">
        <v>4</v>
      </c>
      <c r="E5" s="3" t="n">
        <v>4</v>
      </c>
      <c r="F5" s="2" t="n"/>
    </row>
    <row r="6">
      <c r="A6" s="2" t="inlineStr">
        <is>
          <t>Maintenance and Quality Systems</t>
        </is>
      </c>
      <c r="B6" s="2" t="inlineStr">
        <is>
          <t>benefit</t>
        </is>
      </c>
      <c r="C6" s="3" t="n">
        <v>4</v>
      </c>
      <c r="D6" s="3" t="n">
        <v>4</v>
      </c>
      <c r="E6" s="3" t="n">
        <v>4</v>
      </c>
      <c r="F6" s="2" t="n"/>
    </row>
    <row r="7">
      <c r="A7" s="2" t="inlineStr">
        <is>
          <t>Logistics and Project Delivery</t>
        </is>
      </c>
      <c r="B7" s="2" t="inlineStr">
        <is>
          <t>benefit</t>
        </is>
      </c>
      <c r="C7" s="3" t="n">
        <v>4</v>
      </c>
      <c r="D7" s="3" t="n">
        <v>4</v>
      </c>
      <c r="E7" s="3" t="n">
        <v>4</v>
      </c>
      <c r="F7" s="2" t="n"/>
    </row>
    <row r="8">
      <c r="A8" s="2" t="inlineStr">
        <is>
          <t>Environmental Compliance and Waste Management</t>
        </is>
      </c>
      <c r="B8" s="2" t="inlineStr">
        <is>
          <t>benefit</t>
        </is>
      </c>
      <c r="C8" s="3" t="n">
        <v>4</v>
      </c>
      <c r="D8" s="3" t="n">
        <v>4</v>
      </c>
      <c r="E8" s="3" t="n">
        <v>4</v>
      </c>
      <c r="F8" s="2" t="n"/>
    </row>
    <row r="9">
      <c r="A9" s="2" t="inlineStr">
        <is>
          <t>Process-Hazard Analysis Capability</t>
        </is>
      </c>
      <c r="B9" s="2" t="inlineStr">
        <is>
          <t>benefit</t>
        </is>
      </c>
      <c r="C9" s="3" t="n">
        <v>5</v>
      </c>
      <c r="D9" s="3" t="n">
        <v>4</v>
      </c>
      <c r="E9" s="3" t="n">
        <v>4</v>
      </c>
      <c r="F9" s="2" t="n"/>
    </row>
    <row r="10">
      <c r="A10" s="2" t="inlineStr">
        <is>
          <t>Safety Management System</t>
        </is>
      </c>
      <c r="B10" s="2" t="inlineStr">
        <is>
          <t>benefit</t>
        </is>
      </c>
      <c r="C10" s="3" t="n">
        <v>4</v>
      </c>
      <c r="D10" s="3" t="n">
        <v>4</v>
      </c>
      <c r="E10" s="3" t="n">
        <v>4</v>
      </c>
      <c r="F10" s="2" t="n"/>
    </row>
    <row r="11">
      <c r="A11" s="2" t="inlineStr">
        <is>
          <t>Initial Capital Requirement</t>
        </is>
      </c>
      <c r="B11" s="2" t="inlineStr">
        <is>
          <t>cost</t>
        </is>
      </c>
      <c r="C11" s="3" t="n">
        <v>4</v>
      </c>
      <c r="D11" s="3" t="n">
        <v>4</v>
      </c>
      <c r="E11" s="3" t="n">
        <v>3</v>
      </c>
      <c r="F11" s="2" t="n"/>
    </row>
    <row r="12">
      <c r="A12" s="2" t="inlineStr">
        <is>
          <t>Operating and Maintenance Burden</t>
        </is>
      </c>
      <c r="B12" s="2" t="inlineStr">
        <is>
          <t>cost</t>
        </is>
      </c>
      <c r="C12" s="3" t="n">
        <v>4</v>
      </c>
      <c r="D12" s="3" t="n">
        <v>4</v>
      </c>
      <c r="E12" s="3" t="n">
        <v>3</v>
      </c>
      <c r="F12" s="2" t="n"/>
    </row>
    <row r="13">
      <c r="A13" s="2" t="inlineStr">
        <is>
          <t>Funding/Financial Resilience</t>
        </is>
      </c>
      <c r="B13" s="2" t="inlineStr">
        <is>
          <t>benefit</t>
        </is>
      </c>
      <c r="C13" s="3" t="n">
        <v>4</v>
      </c>
      <c r="D13" s="3" t="n">
        <v>4</v>
      </c>
      <c r="E13" s="3" t="n">
        <v>3</v>
      </c>
      <c r="F13" s="2" t="n"/>
    </row>
    <row r="14">
      <c r="A14" s="2" t="inlineStr">
        <is>
          <t>Petroleum-Sector Registration/Compliance</t>
        </is>
      </c>
      <c r="B14" s="2" t="inlineStr">
        <is>
          <t>benefit</t>
        </is>
      </c>
      <c r="C14" s="3" t="n">
        <v>3</v>
      </c>
      <c r="D14" s="3" t="n">
        <v>3</v>
      </c>
      <c r="E14" s="3" t="n">
        <v>4</v>
      </c>
      <c r="F14" s="2" t="n"/>
    </row>
    <row r="15">
      <c r="A15" s="2" t="inlineStr">
        <is>
          <t>Laboratory Quality/Accreditation Readiness</t>
        </is>
      </c>
      <c r="B15" s="2" t="inlineStr">
        <is>
          <t>benefit</t>
        </is>
      </c>
      <c r="C15" s="3" t="n">
        <v>3</v>
      </c>
      <c r="D15" s="3" t="n">
        <v>4</v>
      </c>
      <c r="E15" s="3" t="n">
        <v>4</v>
      </c>
      <c r="F15" s="2" t="n"/>
    </row>
    <row r="16">
      <c r="A16" s="2" t="inlineStr">
        <is>
          <t>Environmental Permits/Approvals</t>
        </is>
      </c>
      <c r="B16" s="2" t="inlineStr">
        <is>
          <t>benefit</t>
        </is>
      </c>
      <c r="C16" s="3" t="n">
        <v>4</v>
      </c>
      <c r="D16" s="3" t="n">
        <v>4</v>
      </c>
      <c r="E16" s="3" t="n">
        <v>4</v>
      </c>
      <c r="F16" s="2" t="n"/>
    </row>
    <row r="17">
      <c r="A17" s="2" t="inlineStr">
        <is>
          <t>Client Demand</t>
        </is>
      </c>
      <c r="B17" s="2" t="inlineStr">
        <is>
          <t>benefit</t>
        </is>
      </c>
      <c r="C17" s="3" t="n">
        <v>5</v>
      </c>
      <c r="D17" s="3" t="n">
        <v>4</v>
      </c>
      <c r="E17" s="3" t="n">
        <v>4</v>
      </c>
      <c r="F17" s="2" t="n"/>
    </row>
    <row r="18">
      <c r="A18" s="2" t="inlineStr">
        <is>
          <t>Contract Access and Business Development</t>
        </is>
      </c>
      <c r="B18" s="2" t="inlineStr">
        <is>
          <t>benefit</t>
        </is>
      </c>
      <c r="C18" s="3" t="n">
        <v>4</v>
      </c>
      <c r="D18" s="3" t="n">
        <v>4</v>
      </c>
      <c r="E18" s="3" t="n">
        <v>3</v>
      </c>
      <c r="F18" s="2" t="n"/>
    </row>
    <row r="19">
      <c r="A19" s="2" t="inlineStr">
        <is>
          <t>Competitive Position</t>
        </is>
      </c>
      <c r="B19" s="2" t="inlineStr">
        <is>
          <t>benefit</t>
        </is>
      </c>
      <c r="C19" s="3" t="n">
        <v>4</v>
      </c>
      <c r="D19" s="3" t="n">
        <v>4</v>
      </c>
      <c r="E19" s="3" t="n">
        <v>4</v>
      </c>
      <c r="F19" s="2" t="n"/>
    </row>
    <row r="20">
      <c r="A20" s="2" t="inlineStr">
        <is>
          <t>Scale Suitability</t>
        </is>
      </c>
      <c r="B20" s="2" t="inlineStr">
        <is>
          <t>benefit</t>
        </is>
      </c>
      <c r="C20" s="3" t="n">
        <v>4</v>
      </c>
      <c r="D20" s="3" t="n">
        <v>5</v>
      </c>
      <c r="E20" s="3" t="n">
        <v>4</v>
      </c>
      <c r="F20" s="2" t="n"/>
    </row>
  </sheetData>
  <dataValidations count="1">
    <dataValidation sqref="C2:E20" showDropDown="0" showInputMessage="0" showErrorMessage="0" allowBlank="0" type="whole" operator="between">
      <formula1>1</formula1>
      <formula2>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Criterion</t>
        </is>
      </c>
      <c r="B1" s="1" t="inlineStr">
        <is>
          <t>Type</t>
        </is>
      </c>
      <c r="C1" s="1" t="inlineStr">
        <is>
          <t>Global Weight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Norm A</t>
        </is>
      </c>
      <c r="H1" s="1" t="inlineStr">
        <is>
          <t>Norm B</t>
        </is>
      </c>
      <c r="I1" s="1" t="inlineStr">
        <is>
          <t>Norm C</t>
        </is>
      </c>
      <c r="J1" s="1" t="inlineStr">
        <is>
          <t>Weighted A</t>
        </is>
      </c>
      <c r="K1" s="1" t="inlineStr">
        <is>
          <t>Weighted B</t>
        </is>
      </c>
      <c r="L1" s="1" t="inlineStr">
        <is>
          <t>Weighted C</t>
        </is>
      </c>
      <c r="M1" s="1" t="inlineStr">
        <is>
          <t>Positive Ideal</t>
        </is>
      </c>
      <c r="N1" s="1" t="inlineStr">
        <is>
          <t>Negative Ideal</t>
        </is>
      </c>
      <c r="O1" s="1" t="inlineStr">
        <is>
          <t>A dist+ sq</t>
        </is>
      </c>
      <c r="P1" s="1" t="inlineStr">
        <is>
          <t>B dist+ sq</t>
        </is>
      </c>
      <c r="Q1" s="1" t="inlineStr">
        <is>
          <t>C dist+ sq</t>
        </is>
      </c>
      <c r="R1" s="1" t="inlineStr">
        <is>
          <t>A dist- sq</t>
        </is>
      </c>
      <c r="S1" s="1" t="inlineStr">
        <is>
          <t>B dist- sq</t>
        </is>
      </c>
      <c r="T1" s="1" t="inlineStr">
        <is>
          <t>C dist- sq</t>
        </is>
      </c>
    </row>
    <row r="2">
      <c r="A2" s="2" t="inlineStr">
        <is>
          <t>Technical Manpower</t>
        </is>
      </c>
      <c r="B2" s="2" t="inlineStr">
        <is>
          <t>benefit</t>
        </is>
      </c>
      <c r="C2" s="2">
        <f>MODEL_NOTES!D13</f>
        <v/>
      </c>
      <c r="D2" s="2">
        <f>CHATBOT_INPUT!C2</f>
        <v/>
      </c>
      <c r="E2" s="2">
        <f>CHATBOT_INPUT!D2</f>
        <v/>
      </c>
      <c r="F2" s="2">
        <f>CHATBOT_INPUT!E2</f>
        <v/>
      </c>
      <c r="G2" s="2">
        <f>D2/SQRT(D2^2+E2^2+F2^2)</f>
        <v/>
      </c>
      <c r="H2" s="2">
        <f>E2/SQRT(D2^2+E2^2+F2^2)</f>
        <v/>
      </c>
      <c r="I2" s="2">
        <f>F2/SQRT(D2^2+E2^2+F2^2)</f>
        <v/>
      </c>
      <c r="J2" s="2">
        <f>G2*C2</f>
        <v/>
      </c>
      <c r="K2" s="2">
        <f>H2*C2</f>
        <v/>
      </c>
      <c r="L2" s="2">
        <f>I2*C2</f>
        <v/>
      </c>
      <c r="M2" s="2">
        <f>MAX(J2:L2)</f>
        <v/>
      </c>
      <c r="N2" s="2">
        <f>MIN(J2:L2)</f>
        <v/>
      </c>
      <c r="O2" s="2">
        <f>(J2-M2)^2</f>
        <v/>
      </c>
      <c r="P2" s="2">
        <f>(K2-M2)^2</f>
        <v/>
      </c>
      <c r="Q2" s="2">
        <f>(L2-M2)^2</f>
        <v/>
      </c>
      <c r="R2" s="2">
        <f>(J2-N2)^2</f>
        <v/>
      </c>
      <c r="S2" s="2">
        <f>(K2-N2)^2</f>
        <v/>
      </c>
      <c r="T2" s="2">
        <f>(L2-N2)^2</f>
        <v/>
      </c>
    </row>
    <row r="3">
      <c r="A3" s="2" t="inlineStr">
        <is>
          <t>Technical Tools and Facilities</t>
        </is>
      </c>
      <c r="B3" s="2" t="inlineStr">
        <is>
          <t>benefit</t>
        </is>
      </c>
      <c r="C3" s="2">
        <f>MODEL_NOTES!D13</f>
        <v/>
      </c>
      <c r="D3" s="2">
        <f>CHATBOT_INPUT!C3</f>
        <v/>
      </c>
      <c r="E3" s="2">
        <f>CHATBOT_INPUT!D3</f>
        <v/>
      </c>
      <c r="F3" s="2">
        <f>CHATBOT_INPUT!E3</f>
        <v/>
      </c>
      <c r="G3" s="2">
        <f>D3/SQRT(D3^2+E3^2+F3^2)</f>
        <v/>
      </c>
      <c r="H3" s="2">
        <f>E3/SQRT(D3^2+E3^2+F3^2)</f>
        <v/>
      </c>
      <c r="I3" s="2">
        <f>F3/SQRT(D3^2+E3^2+F3^2)</f>
        <v/>
      </c>
      <c r="J3" s="2">
        <f>G3*C3</f>
        <v/>
      </c>
      <c r="K3" s="2">
        <f>H3*C3</f>
        <v/>
      </c>
      <c r="L3" s="2">
        <f>I3*C3</f>
        <v/>
      </c>
      <c r="M3" s="2">
        <f>MAX(J3:L3)</f>
        <v/>
      </c>
      <c r="N3" s="2">
        <f>MIN(J3:L3)</f>
        <v/>
      </c>
      <c r="O3" s="2">
        <f>(J3-M3)^2</f>
        <v/>
      </c>
      <c r="P3" s="2">
        <f>(K3-M3)^2</f>
        <v/>
      </c>
      <c r="Q3" s="2">
        <f>(L3-M3)^2</f>
        <v/>
      </c>
      <c r="R3" s="2">
        <f>(J3-N3)^2</f>
        <v/>
      </c>
      <c r="S3" s="2">
        <f>(K3-N3)^2</f>
        <v/>
      </c>
      <c r="T3" s="2">
        <f>(L3-N3)^2</f>
        <v/>
      </c>
    </row>
    <row r="4">
      <c r="A4" s="2" t="inlineStr">
        <is>
          <t>Service-Specific Capability</t>
        </is>
      </c>
      <c r="B4" s="2" t="inlineStr">
        <is>
          <t>benefit</t>
        </is>
      </c>
      <c r="C4" s="2">
        <f>MODEL_NOTES!D13</f>
        <v/>
      </c>
      <c r="D4" s="2">
        <f>CHATBOT_INPUT!C4</f>
        <v/>
      </c>
      <c r="E4" s="2">
        <f>CHATBOT_INPUT!D4</f>
        <v/>
      </c>
      <c r="F4" s="2">
        <f>CHATBOT_INPUT!E4</f>
        <v/>
      </c>
      <c r="G4" s="2">
        <f>D4/SQRT(D4^2+E4^2+F4^2)</f>
        <v/>
      </c>
      <c r="H4" s="2">
        <f>E4/SQRT(D4^2+E4^2+F4^2)</f>
        <v/>
      </c>
      <c r="I4" s="2">
        <f>F4/SQRT(D4^2+E4^2+F4^2)</f>
        <v/>
      </c>
      <c r="J4" s="2">
        <f>G4*C4</f>
        <v/>
      </c>
      <c r="K4" s="2">
        <f>H4*C4</f>
        <v/>
      </c>
      <c r="L4" s="2">
        <f>I4*C4</f>
        <v/>
      </c>
      <c r="M4" s="2">
        <f>MAX(J4:L4)</f>
        <v/>
      </c>
      <c r="N4" s="2">
        <f>MIN(J4:L4)</f>
        <v/>
      </c>
      <c r="O4" s="2">
        <f>(J4-M4)^2</f>
        <v/>
      </c>
      <c r="P4" s="2">
        <f>(K4-M4)^2</f>
        <v/>
      </c>
      <c r="Q4" s="2">
        <f>(L4-M4)^2</f>
        <v/>
      </c>
      <c r="R4" s="2">
        <f>(J4-N4)^2</f>
        <v/>
      </c>
      <c r="S4" s="2">
        <f>(K4-N4)^2</f>
        <v/>
      </c>
      <c r="T4" s="2">
        <f>(L4-N4)^2</f>
        <v/>
      </c>
    </row>
    <row r="5">
      <c r="A5" s="2" t="inlineStr">
        <is>
          <t>Facilities and Utilities</t>
        </is>
      </c>
      <c r="B5" s="2" t="inlineStr">
        <is>
          <t>benefit</t>
        </is>
      </c>
      <c r="C5" s="2">
        <f>MODEL_NOTES!D14</f>
        <v/>
      </c>
      <c r="D5" s="2">
        <f>CHATBOT_INPUT!C5</f>
        <v/>
      </c>
      <c r="E5" s="2">
        <f>CHATBOT_INPUT!D5</f>
        <v/>
      </c>
      <c r="F5" s="2">
        <f>CHATBOT_INPUT!E5</f>
        <v/>
      </c>
      <c r="G5" s="2">
        <f>D5/SQRT(D5^2+E5^2+F5^2)</f>
        <v/>
      </c>
      <c r="H5" s="2">
        <f>E5/SQRT(D5^2+E5^2+F5^2)</f>
        <v/>
      </c>
      <c r="I5" s="2">
        <f>F5/SQRT(D5^2+E5^2+F5^2)</f>
        <v/>
      </c>
      <c r="J5" s="2">
        <f>G5*C5</f>
        <v/>
      </c>
      <c r="K5" s="2">
        <f>H5*C5</f>
        <v/>
      </c>
      <c r="L5" s="2">
        <f>I5*C5</f>
        <v/>
      </c>
      <c r="M5" s="2">
        <f>MAX(J5:L5)</f>
        <v/>
      </c>
      <c r="N5" s="2">
        <f>MIN(J5:L5)</f>
        <v/>
      </c>
      <c r="O5" s="2">
        <f>(J5-M5)^2</f>
        <v/>
      </c>
      <c r="P5" s="2">
        <f>(K5-M5)^2</f>
        <v/>
      </c>
      <c r="Q5" s="2">
        <f>(L5-M5)^2</f>
        <v/>
      </c>
      <c r="R5" s="2">
        <f>(J5-N5)^2</f>
        <v/>
      </c>
      <c r="S5" s="2">
        <f>(K5-N5)^2</f>
        <v/>
      </c>
      <c r="T5" s="2">
        <f>(L5-N5)^2</f>
        <v/>
      </c>
    </row>
    <row r="6">
      <c r="A6" s="2" t="inlineStr">
        <is>
          <t>Maintenance and Quality Systems</t>
        </is>
      </c>
      <c r="B6" s="2" t="inlineStr">
        <is>
          <t>benefit</t>
        </is>
      </c>
      <c r="C6" s="2">
        <f>MODEL_NOTES!D14</f>
        <v/>
      </c>
      <c r="D6" s="2">
        <f>CHATBOT_INPUT!C6</f>
        <v/>
      </c>
      <c r="E6" s="2">
        <f>CHATBOT_INPUT!D6</f>
        <v/>
      </c>
      <c r="F6" s="2">
        <f>CHATBOT_INPUT!E6</f>
        <v/>
      </c>
      <c r="G6" s="2">
        <f>D6/SQRT(D6^2+E6^2+F6^2)</f>
        <v/>
      </c>
      <c r="H6" s="2">
        <f>E6/SQRT(D6^2+E6^2+F6^2)</f>
        <v/>
      </c>
      <c r="I6" s="2">
        <f>F6/SQRT(D6^2+E6^2+F6^2)</f>
        <v/>
      </c>
      <c r="J6" s="2">
        <f>G6*C6</f>
        <v/>
      </c>
      <c r="K6" s="2">
        <f>H6*C6</f>
        <v/>
      </c>
      <c r="L6" s="2">
        <f>I6*C6</f>
        <v/>
      </c>
      <c r="M6" s="2">
        <f>MAX(J6:L6)</f>
        <v/>
      </c>
      <c r="N6" s="2">
        <f>MIN(J6:L6)</f>
        <v/>
      </c>
      <c r="O6" s="2">
        <f>(J6-M6)^2</f>
        <v/>
      </c>
      <c r="P6" s="2">
        <f>(K6-M6)^2</f>
        <v/>
      </c>
      <c r="Q6" s="2">
        <f>(L6-M6)^2</f>
        <v/>
      </c>
      <c r="R6" s="2">
        <f>(J6-N6)^2</f>
        <v/>
      </c>
      <c r="S6" s="2">
        <f>(K6-N6)^2</f>
        <v/>
      </c>
      <c r="T6" s="2">
        <f>(L6-N6)^2</f>
        <v/>
      </c>
    </row>
    <row r="7">
      <c r="A7" s="2" t="inlineStr">
        <is>
          <t>Logistics and Project Delivery</t>
        </is>
      </c>
      <c r="B7" s="2" t="inlineStr">
        <is>
          <t>benefit</t>
        </is>
      </c>
      <c r="C7" s="2">
        <f>MODEL_NOTES!D14</f>
        <v/>
      </c>
      <c r="D7" s="2">
        <f>CHATBOT_INPUT!C7</f>
        <v/>
      </c>
      <c r="E7" s="2">
        <f>CHATBOT_INPUT!D7</f>
        <v/>
      </c>
      <c r="F7" s="2">
        <f>CHATBOT_INPUT!E7</f>
        <v/>
      </c>
      <c r="G7" s="2">
        <f>D7/SQRT(D7^2+E7^2+F7^2)</f>
        <v/>
      </c>
      <c r="H7" s="2">
        <f>E7/SQRT(D7^2+E7^2+F7^2)</f>
        <v/>
      </c>
      <c r="I7" s="2">
        <f>F7/SQRT(D7^2+E7^2+F7^2)</f>
        <v/>
      </c>
      <c r="J7" s="2">
        <f>G7*C7</f>
        <v/>
      </c>
      <c r="K7" s="2">
        <f>H7*C7</f>
        <v/>
      </c>
      <c r="L7" s="2">
        <f>I7*C7</f>
        <v/>
      </c>
      <c r="M7" s="2">
        <f>MAX(J7:L7)</f>
        <v/>
      </c>
      <c r="N7" s="2">
        <f>MIN(J7:L7)</f>
        <v/>
      </c>
      <c r="O7" s="2">
        <f>(J7-M7)^2</f>
        <v/>
      </c>
      <c r="P7" s="2">
        <f>(K7-M7)^2</f>
        <v/>
      </c>
      <c r="Q7" s="2">
        <f>(L7-M7)^2</f>
        <v/>
      </c>
      <c r="R7" s="2">
        <f>(J7-N7)^2</f>
        <v/>
      </c>
      <c r="S7" s="2">
        <f>(K7-N7)^2</f>
        <v/>
      </c>
      <c r="T7" s="2">
        <f>(L7-N7)^2</f>
        <v/>
      </c>
    </row>
    <row r="8">
      <c r="A8" s="2" t="inlineStr">
        <is>
          <t>Environmental Compliance and Waste Management</t>
        </is>
      </c>
      <c r="B8" s="2" t="inlineStr">
        <is>
          <t>benefit</t>
        </is>
      </c>
      <c r="C8" s="2">
        <f>MODEL_NOTES!D15</f>
        <v/>
      </c>
      <c r="D8" s="2">
        <f>CHATBOT_INPUT!C8</f>
        <v/>
      </c>
      <c r="E8" s="2">
        <f>CHATBOT_INPUT!D8</f>
        <v/>
      </c>
      <c r="F8" s="2">
        <f>CHATBOT_INPUT!E8</f>
        <v/>
      </c>
      <c r="G8" s="2">
        <f>D8/SQRT(D8^2+E8^2+F8^2)</f>
        <v/>
      </c>
      <c r="H8" s="2">
        <f>E8/SQRT(D8^2+E8^2+F8^2)</f>
        <v/>
      </c>
      <c r="I8" s="2">
        <f>F8/SQRT(D8^2+E8^2+F8^2)</f>
        <v/>
      </c>
      <c r="J8" s="2">
        <f>G8*C8</f>
        <v/>
      </c>
      <c r="K8" s="2">
        <f>H8*C8</f>
        <v/>
      </c>
      <c r="L8" s="2">
        <f>I8*C8</f>
        <v/>
      </c>
      <c r="M8" s="2">
        <f>MAX(J8:L8)</f>
        <v/>
      </c>
      <c r="N8" s="2">
        <f>MIN(J8:L8)</f>
        <v/>
      </c>
      <c r="O8" s="2">
        <f>(J8-M8)^2</f>
        <v/>
      </c>
      <c r="P8" s="2">
        <f>(K8-M8)^2</f>
        <v/>
      </c>
      <c r="Q8" s="2">
        <f>(L8-M8)^2</f>
        <v/>
      </c>
      <c r="R8" s="2">
        <f>(J8-N8)^2</f>
        <v/>
      </c>
      <c r="S8" s="2">
        <f>(K8-N8)^2</f>
        <v/>
      </c>
      <c r="T8" s="2">
        <f>(L8-N8)^2</f>
        <v/>
      </c>
    </row>
    <row r="9">
      <c r="A9" s="2" t="inlineStr">
        <is>
          <t>Process-Hazard Analysis Capability</t>
        </is>
      </c>
      <c r="B9" s="2" t="inlineStr">
        <is>
          <t>benefit</t>
        </is>
      </c>
      <c r="C9" s="2">
        <f>MODEL_NOTES!D15</f>
        <v/>
      </c>
      <c r="D9" s="2">
        <f>CHATBOT_INPUT!C9</f>
        <v/>
      </c>
      <c r="E9" s="2">
        <f>CHATBOT_INPUT!D9</f>
        <v/>
      </c>
      <c r="F9" s="2">
        <f>CHATBOT_INPUT!E9</f>
        <v/>
      </c>
      <c r="G9" s="2">
        <f>D9/SQRT(D9^2+E9^2+F9^2)</f>
        <v/>
      </c>
      <c r="H9" s="2">
        <f>E9/SQRT(D9^2+E9^2+F9^2)</f>
        <v/>
      </c>
      <c r="I9" s="2">
        <f>F9/SQRT(D9^2+E9^2+F9^2)</f>
        <v/>
      </c>
      <c r="J9" s="2">
        <f>G9*C9</f>
        <v/>
      </c>
      <c r="K9" s="2">
        <f>H9*C9</f>
        <v/>
      </c>
      <c r="L9" s="2">
        <f>I9*C9</f>
        <v/>
      </c>
      <c r="M9" s="2">
        <f>MAX(J9:L9)</f>
        <v/>
      </c>
      <c r="N9" s="2">
        <f>MIN(J9:L9)</f>
        <v/>
      </c>
      <c r="O9" s="2">
        <f>(J9-M9)^2</f>
        <v/>
      </c>
      <c r="P9" s="2">
        <f>(K9-M9)^2</f>
        <v/>
      </c>
      <c r="Q9" s="2">
        <f>(L9-M9)^2</f>
        <v/>
      </c>
      <c r="R9" s="2">
        <f>(J9-N9)^2</f>
        <v/>
      </c>
      <c r="S9" s="2">
        <f>(K9-N9)^2</f>
        <v/>
      </c>
      <c r="T9" s="2">
        <f>(L9-N9)^2</f>
        <v/>
      </c>
    </row>
    <row r="10">
      <c r="A10" s="2" t="inlineStr">
        <is>
          <t>Safety Management System</t>
        </is>
      </c>
      <c r="B10" s="2" t="inlineStr">
        <is>
          <t>benefit</t>
        </is>
      </c>
      <c r="C10" s="2">
        <f>MODEL_NOTES!D15</f>
        <v/>
      </c>
      <c r="D10" s="2">
        <f>CHATBOT_INPUT!C10</f>
        <v/>
      </c>
      <c r="E10" s="2">
        <f>CHATBOT_INPUT!D10</f>
        <v/>
      </c>
      <c r="F10" s="2">
        <f>CHATBOT_INPUT!E10</f>
        <v/>
      </c>
      <c r="G10" s="2">
        <f>D10/SQRT(D10^2+E10^2+F10^2)</f>
        <v/>
      </c>
      <c r="H10" s="2">
        <f>E10/SQRT(D10^2+E10^2+F10^2)</f>
        <v/>
      </c>
      <c r="I10" s="2">
        <f>F10/SQRT(D10^2+E10^2+F10^2)</f>
        <v/>
      </c>
      <c r="J10" s="2">
        <f>G10*C10</f>
        <v/>
      </c>
      <c r="K10" s="2">
        <f>H10*C10</f>
        <v/>
      </c>
      <c r="L10" s="2">
        <f>I10*C10</f>
        <v/>
      </c>
      <c r="M10" s="2">
        <f>MAX(J10:L10)</f>
        <v/>
      </c>
      <c r="N10" s="2">
        <f>MIN(J10:L10)</f>
        <v/>
      </c>
      <c r="O10" s="2">
        <f>(J10-M10)^2</f>
        <v/>
      </c>
      <c r="P10" s="2">
        <f>(K10-M10)^2</f>
        <v/>
      </c>
      <c r="Q10" s="2">
        <f>(L10-M10)^2</f>
        <v/>
      </c>
      <c r="R10" s="2">
        <f>(J10-N10)^2</f>
        <v/>
      </c>
      <c r="S10" s="2">
        <f>(K10-N10)^2</f>
        <v/>
      </c>
      <c r="T10" s="2">
        <f>(L10-N10)^2</f>
        <v/>
      </c>
    </row>
    <row r="11">
      <c r="A11" s="2" t="inlineStr">
        <is>
          <t>Initial Capital Requirement</t>
        </is>
      </c>
      <c r="B11" s="2" t="inlineStr">
        <is>
          <t>cost</t>
        </is>
      </c>
      <c r="C11" s="2">
        <f>MODEL_NOTES!D16</f>
        <v/>
      </c>
      <c r="D11" s="2">
        <f>CHATBOT_INPUT!C11</f>
        <v/>
      </c>
      <c r="E11" s="2">
        <f>CHATBOT_INPUT!D11</f>
        <v/>
      </c>
      <c r="F11" s="2">
        <f>CHATBOT_INPUT!E11</f>
        <v/>
      </c>
      <c r="G11" s="2">
        <f>D11/SQRT(D11^2+E11^2+F11^2)</f>
        <v/>
      </c>
      <c r="H11" s="2">
        <f>E11/SQRT(D11^2+E11^2+F11^2)</f>
        <v/>
      </c>
      <c r="I11" s="2">
        <f>F11/SQRT(D11^2+E11^2+F11^2)</f>
        <v/>
      </c>
      <c r="J11" s="2">
        <f>G11*C11</f>
        <v/>
      </c>
      <c r="K11" s="2">
        <f>H11*C11</f>
        <v/>
      </c>
      <c r="L11" s="2">
        <f>I11*C11</f>
        <v/>
      </c>
      <c r="M11" s="2">
        <f>MIN(J11:L11)</f>
        <v/>
      </c>
      <c r="N11" s="2">
        <f>MAX(J11:L11)</f>
        <v/>
      </c>
      <c r="O11" s="2">
        <f>(J11-M11)^2</f>
        <v/>
      </c>
      <c r="P11" s="2">
        <f>(K11-M11)^2</f>
        <v/>
      </c>
      <c r="Q11" s="2">
        <f>(L11-M11)^2</f>
        <v/>
      </c>
      <c r="R11" s="2">
        <f>(J11-N11)^2</f>
        <v/>
      </c>
      <c r="S11" s="2">
        <f>(K11-N11)^2</f>
        <v/>
      </c>
      <c r="T11" s="2">
        <f>(L11-N11)^2</f>
        <v/>
      </c>
    </row>
    <row r="12">
      <c r="A12" s="2" t="inlineStr">
        <is>
          <t>Operating and Maintenance Burden</t>
        </is>
      </c>
      <c r="B12" s="2" t="inlineStr">
        <is>
          <t>cost</t>
        </is>
      </c>
      <c r="C12" s="2">
        <f>MODEL_NOTES!D16</f>
        <v/>
      </c>
      <c r="D12" s="2">
        <f>CHATBOT_INPUT!C12</f>
        <v/>
      </c>
      <c r="E12" s="2">
        <f>CHATBOT_INPUT!D12</f>
        <v/>
      </c>
      <c r="F12" s="2">
        <f>CHATBOT_INPUT!E12</f>
        <v/>
      </c>
      <c r="G12" s="2">
        <f>D12/SQRT(D12^2+E12^2+F12^2)</f>
        <v/>
      </c>
      <c r="H12" s="2">
        <f>E12/SQRT(D12^2+E12^2+F12^2)</f>
        <v/>
      </c>
      <c r="I12" s="2">
        <f>F12/SQRT(D12^2+E12^2+F12^2)</f>
        <v/>
      </c>
      <c r="J12" s="2">
        <f>G12*C12</f>
        <v/>
      </c>
      <c r="K12" s="2">
        <f>H12*C12</f>
        <v/>
      </c>
      <c r="L12" s="2">
        <f>I12*C12</f>
        <v/>
      </c>
      <c r="M12" s="2">
        <f>MIN(J12:L12)</f>
        <v/>
      </c>
      <c r="N12" s="2">
        <f>MAX(J12:L12)</f>
        <v/>
      </c>
      <c r="O12" s="2">
        <f>(J12-M12)^2</f>
        <v/>
      </c>
      <c r="P12" s="2">
        <f>(K12-M12)^2</f>
        <v/>
      </c>
      <c r="Q12" s="2">
        <f>(L12-M12)^2</f>
        <v/>
      </c>
      <c r="R12" s="2">
        <f>(J12-N12)^2</f>
        <v/>
      </c>
      <c r="S12" s="2">
        <f>(K12-N12)^2</f>
        <v/>
      </c>
      <c r="T12" s="2">
        <f>(L12-N12)^2</f>
        <v/>
      </c>
    </row>
    <row r="13">
      <c r="A13" s="2" t="inlineStr">
        <is>
          <t>Funding/Financial Resilience</t>
        </is>
      </c>
      <c r="B13" s="2" t="inlineStr">
        <is>
          <t>benefit</t>
        </is>
      </c>
      <c r="C13" s="2">
        <f>MODEL_NOTES!D16</f>
        <v/>
      </c>
      <c r="D13" s="2">
        <f>CHATBOT_INPUT!C13</f>
        <v/>
      </c>
      <c r="E13" s="2">
        <f>CHATBOT_INPUT!D13</f>
        <v/>
      </c>
      <c r="F13" s="2">
        <f>CHATBOT_INPUT!E13</f>
        <v/>
      </c>
      <c r="G13" s="2">
        <f>D13/SQRT(D13^2+E13^2+F13^2)</f>
        <v/>
      </c>
      <c r="H13" s="2">
        <f>E13/SQRT(D13^2+E13^2+F13^2)</f>
        <v/>
      </c>
      <c r="I13" s="2">
        <f>F13/SQRT(D13^2+E13^2+F13^2)</f>
        <v/>
      </c>
      <c r="J13" s="2">
        <f>G13*C13</f>
        <v/>
      </c>
      <c r="K13" s="2">
        <f>H13*C13</f>
        <v/>
      </c>
      <c r="L13" s="2">
        <f>I13*C13</f>
        <v/>
      </c>
      <c r="M13" s="2">
        <f>MAX(J13:L13)</f>
        <v/>
      </c>
      <c r="N13" s="2">
        <f>MIN(J13:L13)</f>
        <v/>
      </c>
      <c r="O13" s="2">
        <f>(J13-M13)^2</f>
        <v/>
      </c>
      <c r="P13" s="2">
        <f>(K13-M13)^2</f>
        <v/>
      </c>
      <c r="Q13" s="2">
        <f>(L13-M13)^2</f>
        <v/>
      </c>
      <c r="R13" s="2">
        <f>(J13-N13)^2</f>
        <v/>
      </c>
      <c r="S13" s="2">
        <f>(K13-N13)^2</f>
        <v/>
      </c>
      <c r="T13" s="2">
        <f>(L13-N13)^2</f>
        <v/>
      </c>
    </row>
    <row r="14">
      <c r="A14" s="2" t="inlineStr">
        <is>
          <t>Petroleum-Sector Registration/Compliance</t>
        </is>
      </c>
      <c r="B14" s="2" t="inlineStr">
        <is>
          <t>benefit</t>
        </is>
      </c>
      <c r="C14" s="2">
        <f>MODEL_NOTES!D17</f>
        <v/>
      </c>
      <c r="D14" s="2">
        <f>CHATBOT_INPUT!C14</f>
        <v/>
      </c>
      <c r="E14" s="2">
        <f>CHATBOT_INPUT!D14</f>
        <v/>
      </c>
      <c r="F14" s="2">
        <f>CHATBOT_INPUT!E14</f>
        <v/>
      </c>
      <c r="G14" s="2">
        <f>D14/SQRT(D14^2+E14^2+F14^2)</f>
        <v/>
      </c>
      <c r="H14" s="2">
        <f>E14/SQRT(D14^2+E14^2+F14^2)</f>
        <v/>
      </c>
      <c r="I14" s="2">
        <f>F14/SQRT(D14^2+E14^2+F14^2)</f>
        <v/>
      </c>
      <c r="J14" s="2">
        <f>G14*C14</f>
        <v/>
      </c>
      <c r="K14" s="2">
        <f>H14*C14</f>
        <v/>
      </c>
      <c r="L14" s="2">
        <f>I14*C14</f>
        <v/>
      </c>
      <c r="M14" s="2">
        <f>MAX(J14:L14)</f>
        <v/>
      </c>
      <c r="N14" s="2">
        <f>MIN(J14:L14)</f>
        <v/>
      </c>
      <c r="O14" s="2">
        <f>(J14-M14)^2</f>
        <v/>
      </c>
      <c r="P14" s="2">
        <f>(K14-M14)^2</f>
        <v/>
      </c>
      <c r="Q14" s="2">
        <f>(L14-M14)^2</f>
        <v/>
      </c>
      <c r="R14" s="2">
        <f>(J14-N14)^2</f>
        <v/>
      </c>
      <c r="S14" s="2">
        <f>(K14-N14)^2</f>
        <v/>
      </c>
      <c r="T14" s="2">
        <f>(L14-N14)^2</f>
        <v/>
      </c>
    </row>
    <row r="15">
      <c r="A15" s="2" t="inlineStr">
        <is>
          <t>Laboratory Quality/Accreditation Readiness</t>
        </is>
      </c>
      <c r="B15" s="2" t="inlineStr">
        <is>
          <t>benefit</t>
        </is>
      </c>
      <c r="C15" s="2">
        <f>MODEL_NOTES!D17</f>
        <v/>
      </c>
      <c r="D15" s="2">
        <f>CHATBOT_INPUT!C15</f>
        <v/>
      </c>
      <c r="E15" s="2">
        <f>CHATBOT_INPUT!D15</f>
        <v/>
      </c>
      <c r="F15" s="2">
        <f>CHATBOT_INPUT!E15</f>
        <v/>
      </c>
      <c r="G15" s="2">
        <f>D15/SQRT(D15^2+E15^2+F15^2)</f>
        <v/>
      </c>
      <c r="H15" s="2">
        <f>E15/SQRT(D15^2+E15^2+F15^2)</f>
        <v/>
      </c>
      <c r="I15" s="2">
        <f>F15/SQRT(D15^2+E15^2+F15^2)</f>
        <v/>
      </c>
      <c r="J15" s="2">
        <f>G15*C15</f>
        <v/>
      </c>
      <c r="K15" s="2">
        <f>H15*C15</f>
        <v/>
      </c>
      <c r="L15" s="2">
        <f>I15*C15</f>
        <v/>
      </c>
      <c r="M15" s="2">
        <f>MAX(J15:L15)</f>
        <v/>
      </c>
      <c r="N15" s="2">
        <f>MIN(J15:L15)</f>
        <v/>
      </c>
      <c r="O15" s="2">
        <f>(J15-M15)^2</f>
        <v/>
      </c>
      <c r="P15" s="2">
        <f>(K15-M15)^2</f>
        <v/>
      </c>
      <c r="Q15" s="2">
        <f>(L15-M15)^2</f>
        <v/>
      </c>
      <c r="R15" s="2">
        <f>(J15-N15)^2</f>
        <v/>
      </c>
      <c r="S15" s="2">
        <f>(K15-N15)^2</f>
        <v/>
      </c>
      <c r="T15" s="2">
        <f>(L15-N15)^2</f>
        <v/>
      </c>
    </row>
    <row r="16">
      <c r="A16" s="2" t="inlineStr">
        <is>
          <t>Environmental Permits/Approvals</t>
        </is>
      </c>
      <c r="B16" s="2" t="inlineStr">
        <is>
          <t>benefit</t>
        </is>
      </c>
      <c r="C16" s="2">
        <f>MODEL_NOTES!D17</f>
        <v/>
      </c>
      <c r="D16" s="2">
        <f>CHATBOT_INPUT!C16</f>
        <v/>
      </c>
      <c r="E16" s="2">
        <f>CHATBOT_INPUT!D16</f>
        <v/>
      </c>
      <c r="F16" s="2">
        <f>CHATBOT_INPUT!E16</f>
        <v/>
      </c>
      <c r="G16" s="2">
        <f>D16/SQRT(D16^2+E16^2+F16^2)</f>
        <v/>
      </c>
      <c r="H16" s="2">
        <f>E16/SQRT(D16^2+E16^2+F16^2)</f>
        <v/>
      </c>
      <c r="I16" s="2">
        <f>F16/SQRT(D16^2+E16^2+F16^2)</f>
        <v/>
      </c>
      <c r="J16" s="2">
        <f>G16*C16</f>
        <v/>
      </c>
      <c r="K16" s="2">
        <f>H16*C16</f>
        <v/>
      </c>
      <c r="L16" s="2">
        <f>I16*C16</f>
        <v/>
      </c>
      <c r="M16" s="2">
        <f>MAX(J16:L16)</f>
        <v/>
      </c>
      <c r="N16" s="2">
        <f>MIN(J16:L16)</f>
        <v/>
      </c>
      <c r="O16" s="2">
        <f>(J16-M16)^2</f>
        <v/>
      </c>
      <c r="P16" s="2">
        <f>(K16-M16)^2</f>
        <v/>
      </c>
      <c r="Q16" s="2">
        <f>(L16-M16)^2</f>
        <v/>
      </c>
      <c r="R16" s="2">
        <f>(J16-N16)^2</f>
        <v/>
      </c>
      <c r="S16" s="2">
        <f>(K16-N16)^2</f>
        <v/>
      </c>
      <c r="T16" s="2">
        <f>(L16-N16)^2</f>
        <v/>
      </c>
    </row>
    <row r="17">
      <c r="A17" s="2" t="inlineStr">
        <is>
          <t>Client Demand</t>
        </is>
      </c>
      <c r="B17" s="2" t="inlineStr">
        <is>
          <t>benefit</t>
        </is>
      </c>
      <c r="C17" s="2">
        <f>MODEL_NOTES!D18</f>
        <v/>
      </c>
      <c r="D17" s="2">
        <f>CHATBOT_INPUT!C17</f>
        <v/>
      </c>
      <c r="E17" s="2">
        <f>CHATBOT_INPUT!D17</f>
        <v/>
      </c>
      <c r="F17" s="2">
        <f>CHATBOT_INPUT!E17</f>
        <v/>
      </c>
      <c r="G17" s="2">
        <f>D17/SQRT(D17^2+E17^2+F17^2)</f>
        <v/>
      </c>
      <c r="H17" s="2">
        <f>E17/SQRT(D17^2+E17^2+F17^2)</f>
        <v/>
      </c>
      <c r="I17" s="2">
        <f>F17/SQRT(D17^2+E17^2+F17^2)</f>
        <v/>
      </c>
      <c r="J17" s="2">
        <f>G17*C17</f>
        <v/>
      </c>
      <c r="K17" s="2">
        <f>H17*C17</f>
        <v/>
      </c>
      <c r="L17" s="2">
        <f>I17*C17</f>
        <v/>
      </c>
      <c r="M17" s="2">
        <f>MAX(J17:L17)</f>
        <v/>
      </c>
      <c r="N17" s="2">
        <f>MIN(J17:L17)</f>
        <v/>
      </c>
      <c r="O17" s="2">
        <f>(J17-M17)^2</f>
        <v/>
      </c>
      <c r="P17" s="2">
        <f>(K17-M17)^2</f>
        <v/>
      </c>
      <c r="Q17" s="2">
        <f>(L17-M17)^2</f>
        <v/>
      </c>
      <c r="R17" s="2">
        <f>(J17-N17)^2</f>
        <v/>
      </c>
      <c r="S17" s="2">
        <f>(K17-N17)^2</f>
        <v/>
      </c>
      <c r="T17" s="2">
        <f>(L17-N17)^2</f>
        <v/>
      </c>
    </row>
    <row r="18">
      <c r="A18" s="2" t="inlineStr">
        <is>
          <t>Contract Access and Business Development</t>
        </is>
      </c>
      <c r="B18" s="2" t="inlineStr">
        <is>
          <t>benefit</t>
        </is>
      </c>
      <c r="C18" s="2">
        <f>MODEL_NOTES!D18</f>
        <v/>
      </c>
      <c r="D18" s="2">
        <f>CHATBOT_INPUT!C18</f>
        <v/>
      </c>
      <c r="E18" s="2">
        <f>CHATBOT_INPUT!D18</f>
        <v/>
      </c>
      <c r="F18" s="2">
        <f>CHATBOT_INPUT!E18</f>
        <v/>
      </c>
      <c r="G18" s="2">
        <f>D18/SQRT(D18^2+E18^2+F18^2)</f>
        <v/>
      </c>
      <c r="H18" s="2">
        <f>E18/SQRT(D18^2+E18^2+F18^2)</f>
        <v/>
      </c>
      <c r="I18" s="2">
        <f>F18/SQRT(D18^2+E18^2+F18^2)</f>
        <v/>
      </c>
      <c r="J18" s="2">
        <f>G18*C18</f>
        <v/>
      </c>
      <c r="K18" s="2">
        <f>H18*C18</f>
        <v/>
      </c>
      <c r="L18" s="2">
        <f>I18*C18</f>
        <v/>
      </c>
      <c r="M18" s="2">
        <f>MAX(J18:L18)</f>
        <v/>
      </c>
      <c r="N18" s="2">
        <f>MIN(J18:L18)</f>
        <v/>
      </c>
      <c r="O18" s="2">
        <f>(J18-M18)^2</f>
        <v/>
      </c>
      <c r="P18" s="2">
        <f>(K18-M18)^2</f>
        <v/>
      </c>
      <c r="Q18" s="2">
        <f>(L18-M18)^2</f>
        <v/>
      </c>
      <c r="R18" s="2">
        <f>(J18-N18)^2</f>
        <v/>
      </c>
      <c r="S18" s="2">
        <f>(K18-N18)^2</f>
        <v/>
      </c>
      <c r="T18" s="2">
        <f>(L18-N18)^2</f>
        <v/>
      </c>
    </row>
    <row r="19">
      <c r="A19" s="2" t="inlineStr">
        <is>
          <t>Competitive Position</t>
        </is>
      </c>
      <c r="B19" s="2" t="inlineStr">
        <is>
          <t>benefit</t>
        </is>
      </c>
      <c r="C19" s="2">
        <f>MODEL_NOTES!D18</f>
        <v/>
      </c>
      <c r="D19" s="2">
        <f>CHATBOT_INPUT!C19</f>
        <v/>
      </c>
      <c r="E19" s="2">
        <f>CHATBOT_INPUT!D19</f>
        <v/>
      </c>
      <c r="F19" s="2">
        <f>CHATBOT_INPUT!E19</f>
        <v/>
      </c>
      <c r="G19" s="2">
        <f>D19/SQRT(D19^2+E19^2+F19^2)</f>
        <v/>
      </c>
      <c r="H19" s="2">
        <f>E19/SQRT(D19^2+E19^2+F19^2)</f>
        <v/>
      </c>
      <c r="I19" s="2">
        <f>F19/SQRT(D19^2+E19^2+F19^2)</f>
        <v/>
      </c>
      <c r="J19" s="2">
        <f>G19*C19</f>
        <v/>
      </c>
      <c r="K19" s="2">
        <f>H19*C19</f>
        <v/>
      </c>
      <c r="L19" s="2">
        <f>I19*C19</f>
        <v/>
      </c>
      <c r="M19" s="2">
        <f>MAX(J19:L19)</f>
        <v/>
      </c>
      <c r="N19" s="2">
        <f>MIN(J19:L19)</f>
        <v/>
      </c>
      <c r="O19" s="2">
        <f>(J19-M19)^2</f>
        <v/>
      </c>
      <c r="P19" s="2">
        <f>(K19-M19)^2</f>
        <v/>
      </c>
      <c r="Q19" s="2">
        <f>(L19-M19)^2</f>
        <v/>
      </c>
      <c r="R19" s="2">
        <f>(J19-N19)^2</f>
        <v/>
      </c>
      <c r="S19" s="2">
        <f>(K19-N19)^2</f>
        <v/>
      </c>
      <c r="T19" s="2">
        <f>(L19-N19)^2</f>
        <v/>
      </c>
    </row>
    <row r="20">
      <c r="A20" s="2" t="inlineStr">
        <is>
          <t>Scale Suitability</t>
        </is>
      </c>
      <c r="B20" s="2" t="inlineStr">
        <is>
          <t>benefit</t>
        </is>
      </c>
      <c r="C20" s="2">
        <f>MODEL_NOTES!D19</f>
        <v/>
      </c>
      <c r="D20" s="2">
        <f>CHATBOT_INPUT!C20</f>
        <v/>
      </c>
      <c r="E20" s="2">
        <f>CHATBOT_INPUT!D20</f>
        <v/>
      </c>
      <c r="F20" s="2">
        <f>CHATBOT_INPUT!E20</f>
        <v/>
      </c>
      <c r="G20" s="2">
        <f>D20/SQRT(D20^2+E20^2+F20^2)</f>
        <v/>
      </c>
      <c r="H20" s="2">
        <f>E20/SQRT(D20^2+E20^2+F20^2)</f>
        <v/>
      </c>
      <c r="I20" s="2">
        <f>F20/SQRT(D20^2+E20^2+F20^2)</f>
        <v/>
      </c>
      <c r="J20" s="2">
        <f>G20*C20</f>
        <v/>
      </c>
      <c r="K20" s="2">
        <f>H20*C20</f>
        <v/>
      </c>
      <c r="L20" s="2">
        <f>I20*C20</f>
        <v/>
      </c>
      <c r="M20" s="2">
        <f>MAX(J20:L20)</f>
        <v/>
      </c>
      <c r="N20" s="2">
        <f>MIN(J20:L20)</f>
        <v/>
      </c>
      <c r="O20" s="2">
        <f>(J20-M20)^2</f>
        <v/>
      </c>
      <c r="P20" s="2">
        <f>(K20-M20)^2</f>
        <v/>
      </c>
      <c r="Q20" s="2">
        <f>(L20-M20)^2</f>
        <v/>
      </c>
      <c r="R20" s="2">
        <f>(J20-N20)^2</f>
        <v/>
      </c>
      <c r="S20" s="2">
        <f>(K20-N20)^2</f>
        <v/>
      </c>
      <c r="T20" s="2">
        <f>(L20-N20)^2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ALTERNATIVE</t>
        </is>
      </c>
      <c r="B23" s="2" t="inlineStr">
        <is>
          <t>S+</t>
        </is>
      </c>
      <c r="C23" s="2" t="inlineStr">
        <is>
          <t>S-</t>
        </is>
      </c>
      <c r="D23" s="2" t="inlineStr">
        <is>
          <t>RELATIVE CLOSENESS (Ci*)</t>
        </is>
      </c>
      <c r="E23" s="2" t="inlineStr">
        <is>
          <t>RANK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>
        <f>CHATBOT_INPUT!C1</f>
        <v/>
      </c>
      <c r="B24" s="2">
        <f>SQRT(SUM(O2:O20))</f>
        <v/>
      </c>
      <c r="C24" s="2">
        <f>SQRT(SUM(R2:R20))</f>
        <v/>
      </c>
      <c r="D24" s="2">
        <f>C24/(B24+C24)</f>
        <v/>
      </c>
      <c r="E24" s="2">
        <f>RANK(D24,$D$24:$D$26,0)</f>
        <v/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>
        <f>CHATBOT_INPUT!D1</f>
        <v/>
      </c>
      <c r="B25" s="2">
        <f>SQRT(SUM(P2:P20))</f>
        <v/>
      </c>
      <c r="C25" s="2">
        <f>SQRT(SUM(S2:S20))</f>
        <v/>
      </c>
      <c r="D25" s="2">
        <f>C25/(B25+C25)</f>
        <v/>
      </c>
      <c r="E25" s="2">
        <f>RANK(D25,$D$24:$D$26,0)</f>
        <v/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>
        <f>CHATBOT_INPUT!E1</f>
        <v/>
      </c>
      <c r="B26" s="2">
        <f>SQRT(SUM(Q2:Q20))</f>
        <v/>
      </c>
      <c r="C26" s="2">
        <f>SQRT(SUM(T2:T20))</f>
        <v/>
      </c>
      <c r="D26" s="2">
        <f>C26/(B26+C26)</f>
        <v/>
      </c>
      <c r="E26" s="2">
        <f>RANK(D26,$D$24:$D$26,0)</f>
        <v/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1" t="inlineStr">
        <is>
          <t>Result</t>
        </is>
      </c>
      <c r="B1" s="1" t="inlineStr">
        <is>
          <t>Value</t>
        </is>
      </c>
      <c r="C1" s="1" t="inlineStr">
        <is>
          <t>Unnamed: 2</t>
        </is>
      </c>
    </row>
    <row r="2">
      <c r="A2" s="2" t="inlineStr">
        <is>
          <t>Alternative A Ci*</t>
        </is>
      </c>
      <c r="B2" s="4">
        <f>TOPSIS!D24</f>
        <v/>
      </c>
      <c r="C2" s="2" t="n"/>
    </row>
    <row r="3">
      <c r="A3" s="2" t="inlineStr">
        <is>
          <t>Alternative B Ci*</t>
        </is>
      </c>
      <c r="B3" s="4">
        <f>TOPSIS!D25</f>
        <v/>
      </c>
      <c r="C3" s="2" t="n"/>
    </row>
    <row r="4">
      <c r="A4" s="2" t="inlineStr">
        <is>
          <t>Alternative C Ci*</t>
        </is>
      </c>
      <c r="B4" s="4">
        <f>TOPSIS!D26</f>
        <v/>
      </c>
      <c r="C4" s="2" t="n"/>
    </row>
    <row r="5">
      <c r="A5" s="2" t="inlineStr">
        <is>
          <t>Best Alternative</t>
        </is>
      </c>
      <c r="B5" s="2">
        <f>INDEX(TOPSIS!A24:A26,MATCH(1,TOPSIS!E24:E26,0))</f>
        <v/>
      </c>
      <c r="C5" s="2" t="n"/>
    </row>
    <row r="6">
      <c r="A6" s="2" t="inlineStr">
        <is>
          <t>Rank 1</t>
        </is>
      </c>
      <c r="B6" s="2">
        <f>INDEX(TOPSIS!A24:A26,MATCH(1,TOPSIS!E24:E26,0))</f>
        <v/>
      </c>
      <c r="C6" s="2" t="n"/>
    </row>
    <row r="7">
      <c r="A7" s="2" t="inlineStr">
        <is>
          <t>Rank 2</t>
        </is>
      </c>
      <c r="B7" s="2">
        <f>INDEX(TOPSIS!A24:A26,MATCH(2,TOPSIS!E24:E26,0))</f>
        <v/>
      </c>
      <c r="C7" s="2" t="n"/>
    </row>
    <row r="8">
      <c r="A8" s="2" t="inlineStr">
        <is>
          <t>Rank 3</t>
        </is>
      </c>
      <c r="B8" s="2">
        <f>INDEX(TOPSIS!A24:A26,MATCH(3,TOPSIS!E24:E26,0))</f>
        <v/>
      </c>
      <c r="C8" s="2" t="n"/>
    </row>
    <row r="9">
      <c r="A9" s="2" t="inlineStr">
        <is>
          <t>Alternative A Rank</t>
        </is>
      </c>
      <c r="B9" s="2">
        <f>TOPSIS!E24</f>
        <v/>
      </c>
      <c r="C9" s="2" t="n"/>
    </row>
    <row r="10">
      <c r="A10" s="2" t="inlineStr">
        <is>
          <t>Alternative B Rank</t>
        </is>
      </c>
      <c r="B10" s="2">
        <f>TOPSIS!E25</f>
        <v/>
      </c>
      <c r="C10" s="2" t="n"/>
    </row>
    <row r="11">
      <c r="A11" s="2" t="inlineStr">
        <is>
          <t>Alternative C Rank</t>
        </is>
      </c>
      <c r="B11" s="2">
        <f>TOPSIS!E26</f>
        <v/>
      </c>
      <c r="C11" s="2" t="n"/>
    </row>
    <row r="12">
      <c r="A12" s="2" t="inlineStr">
        <is>
          <t>Alternative A S+</t>
        </is>
      </c>
      <c r="B12" s="4">
        <f>TOPSIS!B24</f>
        <v/>
      </c>
      <c r="C12" s="2" t="n"/>
    </row>
    <row r="13">
      <c r="A13" s="2" t="inlineStr">
        <is>
          <t>Alternative A S-</t>
        </is>
      </c>
      <c r="B13" s="4">
        <f>TOPSIS!C24</f>
        <v/>
      </c>
      <c r="C13" s="2" t="n"/>
    </row>
    <row r="14">
      <c r="A14" s="2" t="inlineStr">
        <is>
          <t>Alternative B S+</t>
        </is>
      </c>
      <c r="B14" s="4">
        <f>TOPSIS!B25</f>
        <v/>
      </c>
      <c r="C14" s="2" t="n"/>
    </row>
    <row r="15">
      <c r="A15" s="2" t="inlineStr">
        <is>
          <t>Alternative B S-</t>
        </is>
      </c>
      <c r="B15" s="4">
        <f>TOPSIS!C25</f>
        <v/>
      </c>
      <c r="C15" s="2" t="n"/>
    </row>
    <row r="16">
      <c r="A16" s="2" t="inlineStr">
        <is>
          <t>Alternative C S+</t>
        </is>
      </c>
      <c r="B16" s="4">
        <f>TOPSIS!B26</f>
        <v/>
      </c>
      <c r="C16" s="2" t="n"/>
    </row>
    <row r="17">
      <c r="A17" s="2" t="inlineStr">
        <is>
          <t>Alternative C S-</t>
        </is>
      </c>
      <c r="B17" s="4">
        <f>TOPSIS!C26</f>
        <v/>
      </c>
      <c r="C17" s="2" t="n"/>
    </row>
    <row r="18">
      <c r="A18" s="2" t="inlineStr">
        <is>
          <t>Consistency Ratio</t>
        </is>
      </c>
      <c r="B18" s="4">
        <f>AHP_CRITERIA!B19</f>
        <v/>
      </c>
      <c r="C18" s="2" t="n"/>
    </row>
    <row r="19">
      <c r="A19" s="2" t="inlineStr">
        <is>
          <t>Consistency Status</t>
        </is>
      </c>
      <c r="B19" s="2">
        <f>AHP_CRITERIA!B20</f>
        <v/>
      </c>
      <c r="C19" s="2" t="n"/>
    </row>
    <row r="20">
      <c r="A20" s="2" t="inlineStr">
        <is>
          <t>Technical AHP Weight</t>
        </is>
      </c>
      <c r="B20" s="4">
        <f>MODEL_NOTES!B13</f>
        <v/>
      </c>
      <c r="C20" s="2" t="n"/>
    </row>
    <row r="21">
      <c r="A21" s="2" t="inlineStr">
        <is>
          <t>Operational AHP Weight</t>
        </is>
      </c>
      <c r="B21" s="4">
        <f>MODEL_NOTES!B14</f>
        <v/>
      </c>
      <c r="C21" s="2" t="n"/>
    </row>
    <row r="22">
      <c r="A22" s="2" t="inlineStr">
        <is>
          <t>Environmental &amp; Safety AHP Weight</t>
        </is>
      </c>
      <c r="B22" s="4">
        <f>MODEL_NOTES!B15</f>
        <v/>
      </c>
      <c r="C22" s="2" t="n"/>
    </row>
    <row r="23">
      <c r="A23" s="2" t="inlineStr">
        <is>
          <t>Financial AHP Weight</t>
        </is>
      </c>
      <c r="B23" s="4">
        <f>MODEL_NOTES!B16</f>
        <v/>
      </c>
      <c r="C23" s="2" t="n"/>
    </row>
    <row r="24">
      <c r="A24" s="2" t="inlineStr">
        <is>
          <t>Regulatory AHP Weight</t>
        </is>
      </c>
      <c r="B24" s="4">
        <f>MODEL_NOTES!B17</f>
        <v/>
      </c>
      <c r="C24" s="2" t="n"/>
    </row>
    <row r="25">
      <c r="A25" s="2" t="inlineStr">
        <is>
          <t>Commercial Feasibility AHP Weight</t>
        </is>
      </c>
      <c r="B25" s="4">
        <f>MODEL_NOTES!B18</f>
        <v/>
      </c>
      <c r="C25" s="2" t="n"/>
    </row>
    <row r="26">
      <c r="A26" s="2" t="inlineStr">
        <is>
          <t>Scale AHP Weight</t>
        </is>
      </c>
      <c r="B26" s="4">
        <f>MODEL_NOTES!B19</f>
        <v/>
      </c>
      <c r="C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2026-10-05T19:34:00Z</dcterms:created>
  <dcterms:modified xmlns:dcterms="http://purl.org/dc/terms/" xmlns:xsi="http://www.w3.org/2001/XMLSchema-instance" xsi:type="dcterms:W3CDTF">2026-10-05T19:34:41Z</dcterms:modified>
</cp:coreProperties>
</file>