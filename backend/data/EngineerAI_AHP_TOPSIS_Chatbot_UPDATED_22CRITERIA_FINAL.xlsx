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AHP PAIRWISE" sheetId="2" state="visible" r:id="rId2"/>
    <sheet xmlns:r="http://schemas.openxmlformats.org/officeDocument/2006/relationships" name="CONSISTENCY CHECK" sheetId="3" state="visible" r:id="rId3"/>
    <sheet xmlns:r="http://schemas.openxmlformats.org/officeDocument/2006/relationships" name="CHATBOT_INPUT" sheetId="4" state="visible" r:id="rId4"/>
    <sheet xmlns:r="http://schemas.openxmlformats.org/officeDocument/2006/relationships" name="DECISION MATRIX" sheetId="5" state="visible" r:id="rId5"/>
    <sheet xmlns:r="http://schemas.openxmlformats.org/officeDocument/2006/relationships" name="NORMALIZED DECISION MATRIX" sheetId="6" state="visible" r:id="rId6"/>
    <sheet xmlns:r="http://schemas.openxmlformats.org/officeDocument/2006/relationships" name="WEIGHTED NORMALISED MATRIX" sheetId="7" state="visible" r:id="rId7"/>
    <sheet xmlns:r="http://schemas.openxmlformats.org/officeDocument/2006/relationships" name="IDEAL SOLUTION" sheetId="8" state="visible" r:id="rId8"/>
    <sheet xmlns:r="http://schemas.openxmlformats.org/officeDocument/2006/relationships" name="SEPERATIONMEASURES " sheetId="9" state="visible" r:id="rId9"/>
    <sheet xmlns:r="http://schemas.openxmlformats.org/officeDocument/2006/relationships" name="RELATIVE CLOSENESS" sheetId="10" state="visible" r:id="rId10"/>
    <sheet xmlns:r="http://schemas.openxmlformats.org/officeDocument/2006/relationships" name="CHATBOT_OUTPUT" sheetId="11" state="visible" r:id="rId11"/>
    <sheet xmlns:r="http://schemas.openxmlformats.org/officeDocument/2006/relationships" name="MODEL NOTES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₦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Expert 1</t>
        </is>
      </c>
      <c r="C1" s="1" t="inlineStr">
        <is>
          <t>Expert 2</t>
        </is>
      </c>
      <c r="D1" s="1" t="inlineStr">
        <is>
          <t>Expert 3</t>
        </is>
      </c>
      <c r="E1" s="1" t="inlineStr">
        <is>
          <t>Expert 4</t>
        </is>
      </c>
      <c r="F1" s="1" t="inlineStr">
        <is>
          <t>Expert 5</t>
        </is>
      </c>
      <c r="G1" s="1" t="inlineStr">
        <is>
          <t>Geometric mean</t>
        </is>
      </c>
      <c r="H1" s="1" t="inlineStr">
        <is>
          <t xml:space="preserve">Approximate </t>
        </is>
      </c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Technical vs Operational</t>
        </is>
      </c>
      <c r="B2" s="1" t="n">
        <v>5</v>
      </c>
      <c r="C2" s="1" t="n">
        <v>5</v>
      </c>
      <c r="D2" s="1" t="n">
        <v>4</v>
      </c>
      <c r="E2" s="1" t="n">
        <v>3</v>
      </c>
      <c r="F2" s="1" t="n">
        <v>3</v>
      </c>
      <c r="G2" s="1" t="n">
        <v>4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inlineStr">
        <is>
          <t>Technical vs Environmental</t>
        </is>
      </c>
      <c r="B3" s="1" t="n">
        <v>6</v>
      </c>
      <c r="C3" s="1" t="n">
        <v>5</v>
      </c>
      <c r="D3" s="1" t="n">
        <v>3</v>
      </c>
      <c r="E3" s="1" t="n">
        <v>3</v>
      </c>
      <c r="F3" s="1" t="n">
        <v>3</v>
      </c>
      <c r="G3" s="1" t="n">
        <v>4</v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inlineStr">
        <is>
          <t>Technical vs Financial</t>
        </is>
      </c>
      <c r="B4" s="1" t="n">
        <v>7</v>
      </c>
      <c r="C4" s="1" t="n">
        <v>6</v>
      </c>
      <c r="D4" s="1" t="n">
        <v>3</v>
      </c>
      <c r="E4" s="1" t="n">
        <v>5</v>
      </c>
      <c r="F4" s="1" t="n">
        <v>4</v>
      </c>
      <c r="G4" s="1" t="n">
        <v>5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inlineStr">
        <is>
          <t>Technical vs Regulatory</t>
        </is>
      </c>
      <c r="B5" s="1" t="n">
        <v>7</v>
      </c>
      <c r="C5" s="1" t="n">
        <v>5</v>
      </c>
      <c r="D5" s="1" t="n">
        <v>4</v>
      </c>
      <c r="E5" s="1" t="n">
        <v>5</v>
      </c>
      <c r="F5" s="1" t="n">
        <v>4</v>
      </c>
      <c r="G5" s="1" t="n">
        <v>5</v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inlineStr">
        <is>
          <t>Operational vs Environmental</t>
        </is>
      </c>
      <c r="B6" s="1" t="n">
        <v>3</v>
      </c>
      <c r="C6" s="1" t="n">
        <v>3</v>
      </c>
      <c r="D6" s="1" t="n">
        <v>3</v>
      </c>
      <c r="E6" s="1" t="n">
        <v>3</v>
      </c>
      <c r="F6" s="1" t="n">
        <v>3</v>
      </c>
      <c r="G6" s="1" t="n">
        <v>3</v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1" t="inlineStr">
        <is>
          <t>Operational vs Financial</t>
        </is>
      </c>
      <c r="B7" s="1" t="n">
        <v>5</v>
      </c>
      <c r="C7" s="1" t="n">
        <v>3</v>
      </c>
      <c r="D7" s="1" t="n">
        <v>5</v>
      </c>
      <c r="E7" s="1" t="n">
        <v>5</v>
      </c>
      <c r="F7" s="1" t="n">
        <v>5</v>
      </c>
      <c r="G7" s="1" t="n">
        <v>4.6</v>
      </c>
      <c r="H7" s="1" t="n">
        <v>5</v>
      </c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inlineStr">
        <is>
          <t>Operational vs Regulatory</t>
        </is>
      </c>
      <c r="B8" s="1" t="n">
        <v>3</v>
      </c>
      <c r="C8" s="1" t="n">
        <v>5</v>
      </c>
      <c r="D8" s="1" t="n">
        <v>3</v>
      </c>
      <c r="E8" s="1" t="n">
        <v>3</v>
      </c>
      <c r="F8" s="1" t="n">
        <v>3</v>
      </c>
      <c r="G8" s="1" t="n">
        <v>3.4</v>
      </c>
      <c r="H8" s="1" t="n">
        <v>3</v>
      </c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inlineStr">
        <is>
          <t>Environmental vs Financial</t>
        </is>
      </c>
      <c r="B9" s="1" t="n">
        <v>3</v>
      </c>
      <c r="C9" s="1" t="n">
        <v>5</v>
      </c>
      <c r="D9" s="1" t="n">
        <v>4</v>
      </c>
      <c r="E9" s="1" t="n">
        <v>5</v>
      </c>
      <c r="F9" s="1" t="n">
        <v>3</v>
      </c>
      <c r="G9" s="1" t="n">
        <v>4</v>
      </c>
      <c r="H9" s="1" t="n">
        <v>4</v>
      </c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A10" s="1" t="inlineStr">
        <is>
          <t>Environmental vs Regulatory</t>
        </is>
      </c>
      <c r="B10" s="1" t="n">
        <v>3</v>
      </c>
      <c r="C10" s="1" t="n">
        <v>3</v>
      </c>
      <c r="D10" s="1" t="n">
        <v>5</v>
      </c>
      <c r="E10" s="1" t="n">
        <v>3</v>
      </c>
      <c r="F10" s="1" t="n">
        <v>3</v>
      </c>
      <c r="G10" s="1" t="n">
        <v>3.4</v>
      </c>
      <c r="H10" s="1" t="n">
        <v>3</v>
      </c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inlineStr">
        <is>
          <t>Financial vs Regulatory</t>
        </is>
      </c>
      <c r="B11" s="1" t="n">
        <v>4</v>
      </c>
      <c r="C11" s="1" t="n">
        <v>2</v>
      </c>
      <c r="D11" s="1" t="n">
        <v>2</v>
      </c>
      <c r="E11" s="1" t="n">
        <v>2</v>
      </c>
      <c r="F11" s="1" t="n">
        <v>1</v>
      </c>
      <c r="G11" s="1" t="n">
        <v>2.2</v>
      </c>
      <c r="H11" s="1" t="n">
        <v>2</v>
      </c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inlineStr">
        <is>
          <t>Criterion</t>
        </is>
      </c>
      <c r="B15" s="1" t="inlineStr">
        <is>
          <t>E1-A</t>
        </is>
      </c>
      <c r="C15" s="1" t="inlineStr">
        <is>
          <t>E1-B</t>
        </is>
      </c>
      <c r="D15" s="1" t="inlineStr">
        <is>
          <t>E1-C</t>
        </is>
      </c>
      <c r="E15" s="1" t="inlineStr">
        <is>
          <t>E2-A</t>
        </is>
      </c>
      <c r="F15" s="1" t="inlineStr">
        <is>
          <t>E2-B</t>
        </is>
      </c>
      <c r="G15" s="1" t="inlineStr">
        <is>
          <t>E2-C</t>
        </is>
      </c>
      <c r="H15" s="1" t="inlineStr">
        <is>
          <t>E3-A</t>
        </is>
      </c>
      <c r="I15" s="1" t="inlineStr">
        <is>
          <t>E3-B</t>
        </is>
      </c>
      <c r="J15" s="1" t="inlineStr">
        <is>
          <t>E3-C</t>
        </is>
      </c>
      <c r="K15" s="1" t="inlineStr">
        <is>
          <t>E4-A</t>
        </is>
      </c>
      <c r="L15" s="1" t="inlineStr">
        <is>
          <t>E4-B</t>
        </is>
      </c>
      <c r="M15" s="1" t="inlineStr">
        <is>
          <t>E4-C</t>
        </is>
      </c>
      <c r="N15" s="1" t="inlineStr">
        <is>
          <t>E5-A</t>
        </is>
      </c>
      <c r="O15" s="1" t="inlineStr">
        <is>
          <t>E5-B</t>
        </is>
      </c>
      <c r="P15" s="1" t="inlineStr">
        <is>
          <t>E5-C</t>
        </is>
      </c>
    </row>
    <row r="16">
      <c r="A16" s="1" t="inlineStr">
        <is>
          <t xml:space="preserve">Laboratory Facilities </t>
        </is>
      </c>
      <c r="B16" s="1" t="n">
        <v>5</v>
      </c>
      <c r="C16" s="1" t="n">
        <v>7</v>
      </c>
      <c r="D16" s="1" t="n">
        <v>10</v>
      </c>
      <c r="E16" s="1" t="n">
        <v>5</v>
      </c>
      <c r="F16" s="1" t="n">
        <v>7</v>
      </c>
      <c r="G16" s="1" t="n">
        <v>10</v>
      </c>
      <c r="H16" s="1" t="n">
        <v>5</v>
      </c>
      <c r="I16" s="1" t="n">
        <v>7</v>
      </c>
      <c r="J16" s="1" t="n">
        <v>10</v>
      </c>
      <c r="K16" s="1" t="n">
        <v>5</v>
      </c>
      <c r="L16" s="1" t="n">
        <v>7</v>
      </c>
      <c r="M16" s="1" t="n">
        <v>10</v>
      </c>
      <c r="N16" s="1" t="n">
        <v>5</v>
      </c>
      <c r="O16" s="1" t="n">
        <v>7</v>
      </c>
      <c r="P16" s="1" t="n">
        <v>10</v>
      </c>
    </row>
    <row r="17">
      <c r="A17" s="1" t="inlineStr">
        <is>
          <t>Process Equipment</t>
        </is>
      </c>
      <c r="B17" s="1" t="n">
        <v>3</v>
      </c>
      <c r="C17" s="1" t="n">
        <v>5</v>
      </c>
      <c r="D17" s="1" t="n">
        <v>5</v>
      </c>
      <c r="E17" s="1" t="n">
        <v>3</v>
      </c>
      <c r="F17" s="1" t="n">
        <v>5</v>
      </c>
      <c r="G17" s="1" t="n">
        <v>5</v>
      </c>
      <c r="H17" s="1" t="n">
        <v>3</v>
      </c>
      <c r="I17" s="1" t="n">
        <v>5</v>
      </c>
      <c r="J17" s="1" t="n">
        <v>5</v>
      </c>
      <c r="K17" s="1" t="n">
        <v>3</v>
      </c>
      <c r="L17" s="1" t="n">
        <v>5</v>
      </c>
      <c r="M17" s="1" t="n">
        <v>5</v>
      </c>
      <c r="N17" s="1" t="n">
        <v>3</v>
      </c>
      <c r="O17" s="1" t="n">
        <v>5</v>
      </c>
      <c r="P17" s="1" t="n">
        <v>5</v>
      </c>
    </row>
    <row r="18">
      <c r="A18" s="1" t="inlineStr">
        <is>
          <t>Engineering Software</t>
        </is>
      </c>
      <c r="B18" s="1" t="n">
        <v>10</v>
      </c>
      <c r="C18" s="1" t="n">
        <v>5</v>
      </c>
      <c r="D18" s="1" t="n">
        <v>5</v>
      </c>
      <c r="E18" s="1" t="n">
        <v>10</v>
      </c>
      <c r="F18" s="1" t="n">
        <v>5</v>
      </c>
      <c r="G18" s="1" t="n">
        <v>5</v>
      </c>
      <c r="H18" s="1" t="n">
        <v>10</v>
      </c>
      <c r="I18" s="1" t="n">
        <v>5</v>
      </c>
      <c r="J18" s="1" t="n">
        <v>5</v>
      </c>
      <c r="K18" s="1" t="n">
        <v>10</v>
      </c>
      <c r="L18" s="1" t="n">
        <v>5</v>
      </c>
      <c r="M18" s="1" t="n">
        <v>5</v>
      </c>
      <c r="N18" s="1" t="n">
        <v>10</v>
      </c>
      <c r="O18" s="1" t="n">
        <v>5</v>
      </c>
      <c r="P18" s="1" t="n">
        <v>5</v>
      </c>
    </row>
    <row r="19">
      <c r="A19" s="1" t="inlineStr">
        <is>
          <t>Technical Manpower</t>
        </is>
      </c>
      <c r="B19" s="1" t="n">
        <v>10</v>
      </c>
      <c r="C19" s="1" t="n">
        <v>10</v>
      </c>
      <c r="D19" s="1" t="n">
        <v>10</v>
      </c>
      <c r="E19" s="1" t="n">
        <v>10</v>
      </c>
      <c r="F19" s="1" t="n">
        <v>10</v>
      </c>
      <c r="G19" s="1" t="n">
        <v>10</v>
      </c>
      <c r="H19" s="1" t="n">
        <v>10</v>
      </c>
      <c r="I19" s="1" t="n">
        <v>10</v>
      </c>
      <c r="J19" s="1" t="n">
        <v>10</v>
      </c>
      <c r="K19" s="1" t="n">
        <v>10</v>
      </c>
      <c r="L19" s="1" t="n">
        <v>10</v>
      </c>
      <c r="M19" s="1" t="n">
        <v>10</v>
      </c>
      <c r="N19" s="1" t="n">
        <v>10</v>
      </c>
      <c r="O19" s="1" t="n">
        <v>10</v>
      </c>
      <c r="P19" s="1" t="n">
        <v>10</v>
      </c>
    </row>
    <row r="20">
      <c r="A20" s="1" t="inlineStr">
        <is>
          <t>Process Optimization Capability</t>
        </is>
      </c>
      <c r="B20" s="1" t="n">
        <v>10</v>
      </c>
      <c r="C20" s="1" t="n">
        <v>3</v>
      </c>
      <c r="D20" s="1" t="n">
        <v>4</v>
      </c>
      <c r="E20" s="1" t="n">
        <v>10</v>
      </c>
      <c r="F20" s="1" t="n">
        <v>3</v>
      </c>
      <c r="G20" s="1" t="n">
        <v>4</v>
      </c>
      <c r="H20" s="1" t="n">
        <v>10</v>
      </c>
      <c r="I20" s="1" t="n">
        <v>3</v>
      </c>
      <c r="J20" s="1" t="n">
        <v>4</v>
      </c>
      <c r="K20" s="1" t="n">
        <v>10</v>
      </c>
      <c r="L20" s="1" t="n">
        <v>3</v>
      </c>
      <c r="M20" s="1" t="n">
        <v>4</v>
      </c>
      <c r="N20" s="1" t="n">
        <v>10</v>
      </c>
      <c r="O20" s="1" t="n">
        <v>3</v>
      </c>
      <c r="P20" s="1" t="n">
        <v>4</v>
      </c>
    </row>
    <row r="21">
      <c r="A21" s="1" t="inlineStr">
        <is>
          <t>Infrastructure Availability</t>
        </is>
      </c>
      <c r="B21" s="1" t="n">
        <v>10</v>
      </c>
      <c r="C21" s="1" t="n">
        <v>10</v>
      </c>
      <c r="D21" s="1" t="n">
        <v>10</v>
      </c>
      <c r="E21" s="1" t="n">
        <v>10</v>
      </c>
      <c r="F21" s="1" t="n">
        <v>10</v>
      </c>
      <c r="G21" s="1" t="n">
        <v>10</v>
      </c>
      <c r="H21" s="1" t="n">
        <v>10</v>
      </c>
      <c r="I21" s="1" t="n">
        <v>10</v>
      </c>
      <c r="J21" s="1" t="n">
        <v>10</v>
      </c>
      <c r="K21" s="1" t="n">
        <v>10</v>
      </c>
      <c r="L21" s="1" t="n">
        <v>10</v>
      </c>
      <c r="M21" s="1" t="n">
        <v>10</v>
      </c>
      <c r="N21" s="1" t="n">
        <v>10</v>
      </c>
      <c r="O21" s="1" t="n">
        <v>10</v>
      </c>
      <c r="P21" s="1" t="n">
        <v>10</v>
      </c>
    </row>
    <row r="22">
      <c r="A22" s="1" t="inlineStr">
        <is>
          <t>Maintenance systems</t>
        </is>
      </c>
      <c r="B22" s="1" t="n">
        <v>3</v>
      </c>
      <c r="C22" s="1" t="n">
        <v>5</v>
      </c>
      <c r="D22" s="1" t="n">
        <v>7</v>
      </c>
      <c r="E22" s="1" t="n">
        <v>3</v>
      </c>
      <c r="F22" s="1" t="n">
        <v>5</v>
      </c>
      <c r="G22" s="1" t="n">
        <v>7</v>
      </c>
      <c r="H22" s="1" t="n">
        <v>3</v>
      </c>
      <c r="I22" s="1" t="n">
        <v>5</v>
      </c>
      <c r="J22" s="1" t="n">
        <v>7</v>
      </c>
      <c r="K22" s="1" t="n">
        <v>3</v>
      </c>
      <c r="L22" s="1" t="n">
        <v>5</v>
      </c>
      <c r="M22" s="1" t="n">
        <v>7</v>
      </c>
      <c r="N22" s="1" t="n">
        <v>3</v>
      </c>
      <c r="O22" s="1" t="n">
        <v>5</v>
      </c>
      <c r="P22" s="1" t="n">
        <v>7</v>
      </c>
    </row>
    <row r="23">
      <c r="A23" s="1" t="inlineStr">
        <is>
          <t>Industrial Utilities</t>
        </is>
      </c>
      <c r="B23" s="1" t="n">
        <v>3</v>
      </c>
      <c r="C23" s="1" t="n">
        <v>5</v>
      </c>
      <c r="D23" s="1" t="n">
        <v>7</v>
      </c>
      <c r="E23" s="1" t="n">
        <v>3</v>
      </c>
      <c r="F23" s="1" t="n">
        <v>5</v>
      </c>
      <c r="G23" s="1" t="n">
        <v>7</v>
      </c>
      <c r="H23" s="1" t="n">
        <v>3</v>
      </c>
      <c r="I23" s="1" t="n">
        <v>5</v>
      </c>
      <c r="J23" s="1" t="n">
        <v>7</v>
      </c>
      <c r="K23" s="1" t="n">
        <v>3</v>
      </c>
      <c r="L23" s="1" t="n">
        <v>5</v>
      </c>
      <c r="M23" s="1" t="n">
        <v>7</v>
      </c>
      <c r="N23" s="1" t="n">
        <v>3</v>
      </c>
      <c r="O23" s="1" t="n">
        <v>5</v>
      </c>
      <c r="P23" s="1" t="n">
        <v>7</v>
      </c>
    </row>
    <row r="24">
      <c r="A24" s="1" t="inlineStr">
        <is>
          <t>Environmental Compliance</t>
        </is>
      </c>
      <c r="B24" s="1" t="n">
        <v>3</v>
      </c>
      <c r="C24" s="1" t="n">
        <v>8</v>
      </c>
      <c r="D24" s="1" t="n">
        <v>8</v>
      </c>
      <c r="E24" s="1" t="n">
        <v>3</v>
      </c>
      <c r="F24" s="1" t="n">
        <v>8</v>
      </c>
      <c r="G24" s="1" t="n">
        <v>8</v>
      </c>
      <c r="H24" s="1" t="n">
        <v>3</v>
      </c>
      <c r="I24" s="1" t="n">
        <v>8</v>
      </c>
      <c r="J24" s="1" t="n">
        <v>8</v>
      </c>
      <c r="K24" s="1" t="n">
        <v>3</v>
      </c>
      <c r="L24" s="1" t="n">
        <v>8</v>
      </c>
      <c r="M24" s="1" t="n">
        <v>8</v>
      </c>
      <c r="N24" s="1" t="n">
        <v>3</v>
      </c>
      <c r="O24" s="1" t="n">
        <v>8</v>
      </c>
      <c r="P24" s="1" t="n">
        <v>8</v>
      </c>
    </row>
    <row r="25">
      <c r="A25" s="1" t="inlineStr">
        <is>
          <t>Waste Management Capability</t>
        </is>
      </c>
      <c r="B25" s="1" t="n">
        <v>3</v>
      </c>
      <c r="C25" s="1" t="n">
        <v>10</v>
      </c>
      <c r="D25" s="1" t="n">
        <v>5</v>
      </c>
      <c r="E25" s="1" t="n">
        <v>3</v>
      </c>
      <c r="F25" s="1" t="n">
        <v>10</v>
      </c>
      <c r="G25" s="1" t="n">
        <v>5</v>
      </c>
      <c r="H25" s="1" t="n">
        <v>3</v>
      </c>
      <c r="I25" s="1" t="n">
        <v>10</v>
      </c>
      <c r="J25" s="1" t="n">
        <v>5</v>
      </c>
      <c r="K25" s="1" t="n">
        <v>3</v>
      </c>
      <c r="L25" s="1" t="n">
        <v>10</v>
      </c>
      <c r="M25" s="1" t="n">
        <v>5</v>
      </c>
      <c r="N25" s="1" t="n">
        <v>3</v>
      </c>
      <c r="O25" s="1" t="n">
        <v>10</v>
      </c>
      <c r="P25" s="1" t="n">
        <v>5</v>
      </c>
    </row>
    <row r="26">
      <c r="A26" s="1" t="inlineStr">
        <is>
          <t>HAZOP/HAZID Capability</t>
        </is>
      </c>
      <c r="B26" s="1" t="n">
        <v>10</v>
      </c>
      <c r="C26" s="1" t="n">
        <v>6</v>
      </c>
      <c r="D26" s="1" t="n">
        <v>6</v>
      </c>
      <c r="E26" s="1" t="n">
        <v>10</v>
      </c>
      <c r="F26" s="1" t="n">
        <v>6</v>
      </c>
      <c r="G26" s="1" t="n">
        <v>6</v>
      </c>
      <c r="H26" s="1" t="n">
        <v>10</v>
      </c>
      <c r="I26" s="1" t="n">
        <v>6</v>
      </c>
      <c r="J26" s="1" t="n">
        <v>6</v>
      </c>
      <c r="K26" s="1" t="n">
        <v>10</v>
      </c>
      <c r="L26" s="1" t="n">
        <v>6</v>
      </c>
      <c r="M26" s="1" t="n">
        <v>6</v>
      </c>
      <c r="N26" s="1" t="n">
        <v>10</v>
      </c>
      <c r="O26" s="1" t="n">
        <v>6</v>
      </c>
      <c r="P26" s="1" t="n">
        <v>6</v>
      </c>
    </row>
    <row r="27">
      <c r="A27" s="1" t="inlineStr">
        <is>
          <t>Safety Management Systems</t>
        </is>
      </c>
      <c r="B27" s="1" t="n">
        <v>6</v>
      </c>
      <c r="C27" s="1" t="n">
        <v>8</v>
      </c>
      <c r="D27" s="1" t="n">
        <v>8</v>
      </c>
      <c r="E27" s="1" t="n">
        <v>6</v>
      </c>
      <c r="F27" s="1" t="n">
        <v>8</v>
      </c>
      <c r="G27" s="1" t="n">
        <v>8</v>
      </c>
      <c r="H27" s="1" t="n">
        <v>6</v>
      </c>
      <c r="I27" s="1" t="n">
        <v>8</v>
      </c>
      <c r="J27" s="1" t="n">
        <v>8</v>
      </c>
      <c r="K27" s="1" t="n">
        <v>6</v>
      </c>
      <c r="L27" s="1" t="n">
        <v>8</v>
      </c>
      <c r="M27" s="1" t="n">
        <v>8</v>
      </c>
      <c r="N27" s="1" t="n">
        <v>6</v>
      </c>
      <c r="O27" s="1" t="n">
        <v>8</v>
      </c>
      <c r="P27" s="1" t="n">
        <v>8</v>
      </c>
    </row>
    <row r="28">
      <c r="A28" s="1" t="inlineStr">
        <is>
          <t>Equipment Cost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Setup Cost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Operating cost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Maintenance Cost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NUPRC Compliance</t>
        </is>
      </c>
      <c r="B32" s="1" t="n">
        <v>5</v>
      </c>
      <c r="C32" s="1" t="n">
        <v>5</v>
      </c>
      <c r="D32" s="1" t="n">
        <v>5</v>
      </c>
      <c r="E32" s="1" t="n">
        <v>5</v>
      </c>
      <c r="F32" s="1" t="n">
        <v>5</v>
      </c>
      <c r="G32" s="1" t="n">
        <v>5</v>
      </c>
      <c r="H32" s="1" t="n">
        <v>5</v>
      </c>
      <c r="I32" s="1" t="n">
        <v>5</v>
      </c>
      <c r="J32" s="1" t="n">
        <v>5</v>
      </c>
      <c r="K32" s="1" t="n">
        <v>5</v>
      </c>
      <c r="L32" s="1" t="n">
        <v>5</v>
      </c>
      <c r="M32" s="1" t="n">
        <v>5</v>
      </c>
      <c r="N32" s="1" t="n">
        <v>5</v>
      </c>
      <c r="O32" s="1" t="n">
        <v>5</v>
      </c>
      <c r="P32" s="1" t="n">
        <v>5</v>
      </c>
    </row>
    <row r="33">
      <c r="A33" s="1" t="inlineStr">
        <is>
          <t>NMDPRA compliance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inlineStr">
        <is>
          <t>NOSDRA compliance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inlineStr">
        <is>
          <t>Laboratory Certification</t>
        </is>
      </c>
      <c r="B35" s="1" t="n">
        <v>1</v>
      </c>
      <c r="C35" s="1" t="n">
        <v>4</v>
      </c>
      <c r="D35" s="1" t="n">
        <v>10</v>
      </c>
      <c r="E35" s="1" t="n">
        <v>1</v>
      </c>
      <c r="F35" s="1" t="n">
        <v>4</v>
      </c>
      <c r="G35" s="1" t="n">
        <v>10</v>
      </c>
      <c r="H35" s="1" t="n">
        <v>1</v>
      </c>
      <c r="I35" s="1" t="n">
        <v>4</v>
      </c>
      <c r="J35" s="1" t="n">
        <v>10</v>
      </c>
      <c r="K35" s="1" t="n">
        <v>1</v>
      </c>
      <c r="L35" s="1" t="n">
        <v>4</v>
      </c>
      <c r="M35" s="1" t="n">
        <v>10</v>
      </c>
      <c r="N35" s="1" t="n">
        <v>1</v>
      </c>
      <c r="O35" s="1" t="n">
        <v>4</v>
      </c>
      <c r="P35" s="1" t="n">
        <v>10</v>
      </c>
    </row>
    <row r="36">
      <c r="A36" s="1" t="inlineStr">
        <is>
          <t>Environmental Permits</t>
        </is>
      </c>
      <c r="B36" s="1" t="n">
        <v>3</v>
      </c>
      <c r="C36" s="1" t="n">
        <v>10</v>
      </c>
      <c r="D36" s="1" t="n">
        <v>7</v>
      </c>
      <c r="E36" s="1" t="n">
        <v>3</v>
      </c>
      <c r="F36" s="1" t="n">
        <v>10</v>
      </c>
      <c r="G36" s="1" t="n">
        <v>7</v>
      </c>
      <c r="H36" s="1" t="n">
        <v>3</v>
      </c>
      <c r="I36" s="1" t="n">
        <v>10</v>
      </c>
      <c r="J36" s="1" t="n">
        <v>7</v>
      </c>
      <c r="K36" s="1" t="n">
        <v>3</v>
      </c>
      <c r="L36" s="1" t="n">
        <v>10</v>
      </c>
      <c r="M36" s="1" t="n">
        <v>7</v>
      </c>
      <c r="N36" s="1" t="n">
        <v>3</v>
      </c>
      <c r="O36" s="1" t="n">
        <v>10</v>
      </c>
      <c r="P36" s="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/>
      <c r="B1" s="2" t="inlineStr">
        <is>
          <t>Technical</t>
        </is>
      </c>
      <c r="C1" s="2" t="inlineStr">
        <is>
          <t>Operational</t>
        </is>
      </c>
      <c r="D1" s="2" t="inlineStr">
        <is>
          <t>Environmental</t>
        </is>
      </c>
      <c r="E1" s="2" t="inlineStr">
        <is>
          <t>Financial</t>
        </is>
      </c>
      <c r="F1" s="2" t="inlineStr">
        <is>
          <t>Regulatory</t>
        </is>
      </c>
    </row>
    <row r="2">
      <c r="A2" s="3" t="inlineStr">
        <is>
          <t>Technical</t>
        </is>
      </c>
      <c r="B2" s="3" t="n">
        <v>1</v>
      </c>
      <c r="C2" s="3" t="n">
        <v>4</v>
      </c>
      <c r="D2" s="3" t="n">
        <v>4</v>
      </c>
      <c r="E2" s="3" t="n">
        <v>5</v>
      </c>
      <c r="F2" s="3" t="n">
        <v>5</v>
      </c>
    </row>
    <row r="3">
      <c r="A3" s="3" t="inlineStr">
        <is>
          <t>Operational</t>
        </is>
      </c>
      <c r="B3" s="3" t="n">
        <v>0.25</v>
      </c>
      <c r="C3" s="3" t="n">
        <v>1</v>
      </c>
      <c r="D3" s="3" t="n">
        <v>3</v>
      </c>
      <c r="E3" s="3" t="n">
        <v>5</v>
      </c>
      <c r="F3" s="3" t="n">
        <v>4</v>
      </c>
    </row>
    <row r="4">
      <c r="A4" s="3" t="inlineStr">
        <is>
          <t>Environmental</t>
        </is>
      </c>
      <c r="B4" s="3" t="n">
        <v>0.25</v>
      </c>
      <c r="C4" s="3" t="n">
        <v>0.3333333333333333</v>
      </c>
      <c r="D4" s="3" t="n">
        <v>1</v>
      </c>
      <c r="E4" s="3" t="n">
        <v>4</v>
      </c>
      <c r="F4" s="3" t="n">
        <v>3</v>
      </c>
    </row>
    <row r="5">
      <c r="A5" s="3" t="inlineStr">
        <is>
          <t>Financial</t>
        </is>
      </c>
      <c r="B5" s="3" t="n">
        <v>0.2</v>
      </c>
      <c r="C5" s="3" t="n">
        <v>0.2</v>
      </c>
      <c r="D5" s="3" t="n">
        <v>0.25</v>
      </c>
      <c r="E5" s="3" t="n">
        <v>1</v>
      </c>
      <c r="F5" s="3" t="n">
        <v>2</v>
      </c>
    </row>
    <row r="6">
      <c r="A6" s="3" t="inlineStr">
        <is>
          <t>Regulatory</t>
        </is>
      </c>
      <c r="B6" s="3" t="n">
        <v>0.2</v>
      </c>
      <c r="C6" s="3" t="n">
        <v>0.25</v>
      </c>
      <c r="D6" s="3" t="n">
        <v>0.3333333333333333</v>
      </c>
      <c r="E6" s="3" t="n">
        <v>0.5</v>
      </c>
      <c r="F6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/>
      <c r="B1" s="2" t="inlineStr">
        <is>
          <t>Technical</t>
        </is>
      </c>
      <c r="C1" s="2" t="inlineStr">
        <is>
          <t>Operational</t>
        </is>
      </c>
      <c r="D1" s="2" t="inlineStr">
        <is>
          <t>Environmental</t>
        </is>
      </c>
      <c r="E1" s="2" t="inlineStr">
        <is>
          <t>Financial</t>
        </is>
      </c>
      <c r="F1" s="2" t="inlineStr">
        <is>
          <t>Regulatory</t>
        </is>
      </c>
    </row>
    <row r="2">
      <c r="A2" s="3" t="inlineStr">
        <is>
          <t>Technical</t>
        </is>
      </c>
      <c r="B2" s="3">
        <f>'AHP PAIRWISE'!B2</f>
        <v/>
      </c>
      <c r="C2" s="3">
        <f>'AHP PAIRWISE'!C2</f>
        <v/>
      </c>
      <c r="D2" s="3">
        <f>'AHP PAIRWISE'!D2</f>
        <v/>
      </c>
      <c r="E2" s="3">
        <f>'AHP PAIRWISE'!E2</f>
        <v/>
      </c>
      <c r="F2" s="3">
        <f>'AHP PAIRWISE'!F2</f>
        <v/>
      </c>
    </row>
    <row r="3">
      <c r="A3" s="3" t="inlineStr">
        <is>
          <t>Operational</t>
        </is>
      </c>
      <c r="B3" s="3">
        <f>'AHP PAIRWISE'!B3</f>
        <v/>
      </c>
      <c r="C3" s="3">
        <f>'AHP PAIRWISE'!C3</f>
        <v/>
      </c>
      <c r="D3" s="3">
        <f>'AHP PAIRWISE'!D3</f>
        <v/>
      </c>
      <c r="E3" s="3">
        <f>'AHP PAIRWISE'!E3</f>
        <v/>
      </c>
      <c r="F3" s="3">
        <f>'AHP PAIRWISE'!F3</f>
        <v/>
      </c>
    </row>
    <row r="4">
      <c r="A4" s="3" t="inlineStr">
        <is>
          <t>Environmental</t>
        </is>
      </c>
      <c r="B4" s="3">
        <f>'AHP PAIRWISE'!B4</f>
        <v/>
      </c>
      <c r="C4" s="3">
        <f>'AHP PAIRWISE'!C4</f>
        <v/>
      </c>
      <c r="D4" s="3">
        <f>'AHP PAIRWISE'!D4</f>
        <v/>
      </c>
      <c r="E4" s="3">
        <f>'AHP PAIRWISE'!E4</f>
        <v/>
      </c>
      <c r="F4" s="3">
        <f>'AHP PAIRWISE'!F4</f>
        <v/>
      </c>
    </row>
    <row r="5">
      <c r="A5" s="3" t="inlineStr">
        <is>
          <t>Financial</t>
        </is>
      </c>
      <c r="B5" s="3">
        <f>'AHP PAIRWISE'!B5</f>
        <v/>
      </c>
      <c r="C5" s="3">
        <f>'AHP PAIRWISE'!C5</f>
        <v/>
      </c>
      <c r="D5" s="3">
        <f>'AHP PAIRWISE'!D5</f>
        <v/>
      </c>
      <c r="E5" s="3">
        <f>'AHP PAIRWISE'!E5</f>
        <v/>
      </c>
      <c r="F5" s="3">
        <f>'AHP PAIRWISE'!F5</f>
        <v/>
      </c>
    </row>
    <row r="6">
      <c r="A6" s="3" t="inlineStr">
        <is>
          <t>Regulatory</t>
        </is>
      </c>
      <c r="B6" s="3">
        <f>'AHP PAIRWISE'!B6</f>
        <v/>
      </c>
      <c r="C6" s="3">
        <f>'AHP PAIRWISE'!C6</f>
        <v/>
      </c>
      <c r="D6" s="3">
        <f>'AHP PAIRWISE'!D6</f>
        <v/>
      </c>
      <c r="E6" s="3">
        <f>'AHP PAIRWISE'!E6</f>
        <v/>
      </c>
      <c r="F6" s="3">
        <f>'AHP PAIRWISE'!F6</f>
        <v/>
      </c>
    </row>
    <row r="7">
      <c r="A7" s="3" t="inlineStr">
        <is>
          <t>TOTAL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inlineStr">
        <is>
          <t>NORMALIZED COLUMN</t>
        </is>
      </c>
      <c r="B10" s="3" t="n"/>
      <c r="C10" s="3" t="n"/>
      <c r="D10" s="3" t="n"/>
      <c r="E10" s="3" t="n"/>
      <c r="F10" s="3" t="n"/>
    </row>
    <row r="11">
      <c r="A11" s="2" t="n"/>
      <c r="B11" s="2" t="inlineStr">
        <is>
          <t>Technical</t>
        </is>
      </c>
      <c r="C11" s="2" t="inlineStr">
        <is>
          <t>Operational</t>
        </is>
      </c>
      <c r="D11" s="2" t="inlineStr">
        <is>
          <t>Environmental</t>
        </is>
      </c>
      <c r="E11" s="2" t="inlineStr">
        <is>
          <t>Financial</t>
        </is>
      </c>
      <c r="F11" s="2" t="inlineStr">
        <is>
          <t>Regulatory</t>
        </is>
      </c>
    </row>
    <row r="12">
      <c r="A12" s="3" t="inlineStr">
        <is>
          <t>Technical</t>
        </is>
      </c>
      <c r="B12" s="3">
        <f>B2/B$7</f>
        <v/>
      </c>
      <c r="C12" s="3">
        <f>C2/C$7</f>
        <v/>
      </c>
      <c r="D12" s="3">
        <f>D2/D$7</f>
        <v/>
      </c>
      <c r="E12" s="3">
        <f>E2/E$7</f>
        <v/>
      </c>
      <c r="F12" s="3">
        <f>F2/F$7</f>
        <v/>
      </c>
    </row>
    <row r="13">
      <c r="A13" s="3" t="inlineStr">
        <is>
          <t>Operational</t>
        </is>
      </c>
      <c r="B13" s="3">
        <f>B3/B$7</f>
        <v/>
      </c>
      <c r="C13" s="3">
        <f>C3/C$7</f>
        <v/>
      </c>
      <c r="D13" s="3">
        <f>D3/D$7</f>
        <v/>
      </c>
      <c r="E13" s="3">
        <f>E3/E$7</f>
        <v/>
      </c>
      <c r="F13" s="3">
        <f>F3/F$7</f>
        <v/>
      </c>
    </row>
    <row r="14">
      <c r="A14" s="3" t="inlineStr">
        <is>
          <t>Environmental</t>
        </is>
      </c>
      <c r="B14" s="3">
        <f>B4/B$7</f>
        <v/>
      </c>
      <c r="C14" s="3">
        <f>C4/C$7</f>
        <v/>
      </c>
      <c r="D14" s="3">
        <f>D4/D$7</f>
        <v/>
      </c>
      <c r="E14" s="3">
        <f>E4/E$7</f>
        <v/>
      </c>
      <c r="F14" s="3">
        <f>F4/F$7</f>
        <v/>
      </c>
    </row>
    <row r="15">
      <c r="A15" s="3" t="inlineStr">
        <is>
          <t>Financial</t>
        </is>
      </c>
      <c r="B15" s="3">
        <f>B5/B$7</f>
        <v/>
      </c>
      <c r="C15" s="3">
        <f>C5/C$7</f>
        <v/>
      </c>
      <c r="D15" s="3">
        <f>D5/D$7</f>
        <v/>
      </c>
      <c r="E15" s="3">
        <f>E5/E$7</f>
        <v/>
      </c>
      <c r="F15" s="3">
        <f>F5/F$7</f>
        <v/>
      </c>
    </row>
    <row r="16">
      <c r="A16" s="3" t="inlineStr">
        <is>
          <t>Regulatory</t>
        </is>
      </c>
      <c r="B16" s="3">
        <f>B6/B$7</f>
        <v/>
      </c>
      <c r="C16" s="3">
        <f>C6/C$7</f>
        <v/>
      </c>
      <c r="D16" s="3">
        <f>D6/D$7</f>
        <v/>
      </c>
      <c r="E16" s="3">
        <f>E6/E$7</f>
        <v/>
      </c>
      <c r="F16" s="3">
        <f>F6/F$7</f>
        <v/>
      </c>
    </row>
    <row r="17">
      <c r="A17" s="3" t="n"/>
      <c r="B17" s="3" t="n"/>
      <c r="C17" s="3" t="n"/>
      <c r="D17" s="3" t="n"/>
      <c r="E17" s="3" t="n"/>
      <c r="F17" s="3" t="n"/>
    </row>
    <row r="18">
      <c r="A18" s="2" t="inlineStr">
        <is>
          <t>CRITERION</t>
        </is>
      </c>
      <c r="B18" s="2" t="inlineStr">
        <is>
          <t>PRIORITY WEIGHT (EIGENVECTOR)</t>
        </is>
      </c>
      <c r="C18" s="2" t="inlineStr">
        <is>
          <t>WEIGHTED SUM</t>
        </is>
      </c>
      <c r="D18" s="2" t="inlineStr">
        <is>
          <t>LAMBDA</t>
        </is>
      </c>
      <c r="E18" s="2" t="n"/>
      <c r="F18" s="2" t="n"/>
    </row>
    <row r="19">
      <c r="A19" s="3" t="inlineStr">
        <is>
          <t>Technical</t>
        </is>
      </c>
      <c r="B19" s="3">
        <f>AVERAGE(B12:F12)</f>
        <v/>
      </c>
      <c r="C19" s="3">
        <f>B2*$B$19+C2*$B$20+D2*$B$21+E2*$B$22+F2*$B$23</f>
        <v/>
      </c>
      <c r="D19" s="3">
        <f>C19/B19</f>
        <v/>
      </c>
      <c r="E19" s="3" t="n"/>
      <c r="F19" s="3" t="n"/>
    </row>
    <row r="20">
      <c r="A20" s="3" t="inlineStr">
        <is>
          <t>Operational</t>
        </is>
      </c>
      <c r="B20" s="3">
        <f>AVERAGE(B13:F13)</f>
        <v/>
      </c>
      <c r="C20" s="3">
        <f>B3*$B$19+C3*$B$20+D3*$B$21+E3*$B$22+F3*$B$23</f>
        <v/>
      </c>
      <c r="D20" s="3">
        <f>C20/B20</f>
        <v/>
      </c>
      <c r="E20" s="3" t="n"/>
      <c r="F20" s="3" t="n"/>
    </row>
    <row r="21">
      <c r="A21" s="3" t="inlineStr">
        <is>
          <t>Environmental</t>
        </is>
      </c>
      <c r="B21" s="3">
        <f>AVERAGE(B14:F14)</f>
        <v/>
      </c>
      <c r="C21" s="3">
        <f>B4*$B$19+C4*$B$20+D4*$B$21+E4*$B$22+F4*$B$23</f>
        <v/>
      </c>
      <c r="D21" s="3">
        <f>C21/B21</f>
        <v/>
      </c>
      <c r="E21" s="3" t="n"/>
      <c r="F21" s="3" t="n"/>
    </row>
    <row r="22">
      <c r="A22" s="3" t="inlineStr">
        <is>
          <t>Financial</t>
        </is>
      </c>
      <c r="B22" s="3">
        <f>AVERAGE(B15:F15)</f>
        <v/>
      </c>
      <c r="C22" s="3">
        <f>B5*$B$19+C5*$B$20+D5*$B$21+E5*$B$22+F5*$B$23</f>
        <v/>
      </c>
      <c r="D22" s="3">
        <f>C22/B22</f>
        <v/>
      </c>
      <c r="E22" s="3" t="n"/>
      <c r="F22" s="3" t="n"/>
    </row>
    <row r="23">
      <c r="A23" s="3" t="inlineStr">
        <is>
          <t>Regulatory</t>
        </is>
      </c>
      <c r="B23" s="3">
        <f>AVERAGE(B16:F16)</f>
        <v/>
      </c>
      <c r="C23" s="3">
        <f>B6*$B$19+C6*$B$20+D6*$B$21+E6*$B$22+F6*$B$23</f>
        <v/>
      </c>
      <c r="D23" s="3">
        <f>C23/B23</f>
        <v/>
      </c>
      <c r="E23" s="3" t="n"/>
      <c r="F23" s="3" t="n"/>
    </row>
    <row r="24">
      <c r="A24" s="3" t="inlineStr">
        <is>
          <t>SUM WEIGHTS</t>
        </is>
      </c>
      <c r="B24" s="3">
        <f>SUM(B19:B23)</f>
        <v/>
      </c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inlineStr">
        <is>
          <t>CONSISTENCY CHECK VALUE</t>
        </is>
      </c>
      <c r="B27" s="3" t="n"/>
      <c r="C27" s="3" t="n"/>
      <c r="D27" s="3" t="n"/>
      <c r="E27" s="3" t="n"/>
      <c r="F27" s="3" t="n"/>
    </row>
    <row r="28">
      <c r="A28" s="3" t="inlineStr">
        <is>
          <t>Number Of Criteria (n)</t>
        </is>
      </c>
      <c r="B28" s="3" t="n">
        <v>5</v>
      </c>
      <c r="C28" s="3" t="n"/>
      <c r="D28" s="3" t="n"/>
      <c r="E28" s="3" t="n"/>
      <c r="F28" s="3" t="n"/>
    </row>
    <row r="29">
      <c r="A29" s="3" t="inlineStr">
        <is>
          <t>Lambda max</t>
        </is>
      </c>
      <c r="B29" s="3">
        <f>AVERAGE(D19:D23)</f>
        <v/>
      </c>
      <c r="C29" s="3" t="n"/>
      <c r="D29" s="3" t="n"/>
      <c r="E29" s="3" t="n"/>
      <c r="F29" s="3" t="n"/>
    </row>
    <row r="30">
      <c r="A30" s="3" t="inlineStr">
        <is>
          <t>Consistency Index (CI)</t>
        </is>
      </c>
      <c r="B30" s="3">
        <f>(B29-B28)/(B28-1)</f>
        <v/>
      </c>
      <c r="C30" s="3" t="n"/>
      <c r="D30" s="3" t="n"/>
      <c r="E30" s="3" t="n"/>
      <c r="F30" s="3" t="n"/>
    </row>
    <row r="31">
      <c r="A31" s="3" t="inlineStr">
        <is>
          <t>Random Index (RI)</t>
        </is>
      </c>
      <c r="B31" s="3" t="n">
        <v>1.12</v>
      </c>
      <c r="C31" s="3" t="n"/>
      <c r="D31" s="3" t="n"/>
      <c r="E31" s="3" t="n"/>
      <c r="F31" s="3" t="n"/>
    </row>
    <row r="32">
      <c r="A32" s="3" t="inlineStr">
        <is>
          <t>Consistency Ratio (CR)</t>
        </is>
      </c>
      <c r="B32" s="3">
        <f>B30/B31</f>
        <v/>
      </c>
      <c r="C32" s="3" t="n"/>
      <c r="D32" s="3" t="n"/>
      <c r="E32" s="3" t="n"/>
      <c r="F32" s="3" t="n"/>
    </row>
    <row r="33">
      <c r="A33" s="3" t="inlineStr">
        <is>
          <t>Decision</t>
        </is>
      </c>
      <c r="B33" s="3">
        <f>IF(B32&lt;=0.1,"CONSISTENT","INCONSISTENT")</f>
        <v/>
      </c>
      <c r="C33" s="3" t="n"/>
      <c r="D33" s="3" t="n"/>
      <c r="E33" s="3" t="n"/>
      <c r="F3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28" customWidth="1" min="4" max="4"/>
    <col width="28" customWidth="1" min="5" max="5"/>
    <col width="75" customWidth="1" min="7" max="7"/>
  </cols>
  <sheetData>
    <row r="1">
      <c r="A1" s="2" t="inlineStr">
        <is>
          <t>Criterion</t>
        </is>
      </c>
      <c r="B1" s="2" t="inlineStr">
        <is>
          <t>Type</t>
        </is>
      </c>
      <c r="C1" s="2" t="inlineStr">
        <is>
          <t>Process Optimization-Focused Firm</t>
        </is>
      </c>
      <c r="D1" s="2" t="inlineStr">
        <is>
          <t>Environmental Compliance-Focused Firm</t>
        </is>
      </c>
      <c r="E1" s="2" t="inlineStr">
        <is>
          <t>Laboratory Testing-Focused Firm</t>
        </is>
      </c>
      <c r="F1" s="2" t="inlineStr"/>
      <c r="G1" s="2" t="inlineStr">
        <is>
          <t>CHATBOT INPUT</t>
        </is>
      </c>
    </row>
    <row r="2">
      <c r="A2" s="3" t="inlineStr">
        <is>
          <t>Laboratory Facilities</t>
        </is>
      </c>
      <c r="B2" s="3" t="inlineStr">
        <is>
          <t>benefit</t>
        </is>
      </c>
      <c r="C2" s="3" t="n">
        <v>5</v>
      </c>
      <c r="D2" s="3" t="n">
        <v>7</v>
      </c>
      <c r="E2" s="3" t="n">
        <v>10</v>
      </c>
      <c r="F2" s="3" t="n"/>
      <c r="G2" s="3" t="inlineStr">
        <is>
          <t>Node.js writes alternative names to C1:E1 and values to C2:E23.</t>
        </is>
      </c>
    </row>
    <row r="3">
      <c r="A3" s="3" t="inlineStr">
        <is>
          <t>Process Equipment</t>
        </is>
      </c>
      <c r="B3" s="3" t="inlineStr">
        <is>
          <t>benefit</t>
        </is>
      </c>
      <c r="C3" s="3" t="n">
        <v>3</v>
      </c>
      <c r="D3" s="3" t="n">
        <v>5</v>
      </c>
      <c r="E3" s="3" t="n">
        <v>5</v>
      </c>
      <c r="F3" s="3" t="n"/>
      <c r="G3" s="3" t="inlineStr">
        <is>
          <t>Technical, operational and environmental/regulatory criteria use performance scores.</t>
        </is>
      </c>
    </row>
    <row r="4">
      <c r="A4" s="3" t="inlineStr">
        <is>
          <t>Engineering Software</t>
        </is>
      </c>
      <c r="B4" s="3" t="inlineStr">
        <is>
          <t>benefit</t>
        </is>
      </c>
      <c r="C4" s="3" t="n">
        <v>10</v>
      </c>
      <c r="D4" s="3" t="n">
        <v>5</v>
      </c>
      <c r="E4" s="3" t="n">
        <v>5</v>
      </c>
      <c r="F4" s="3" t="n"/>
      <c r="G4" s="3" t="inlineStr">
        <is>
          <t>Financial criteria use actual Naira cost figures, not 1-10 scores.</t>
        </is>
      </c>
    </row>
    <row r="5">
      <c r="A5" s="3" t="inlineStr">
        <is>
          <t>Technical Manpower</t>
        </is>
      </c>
      <c r="B5" s="3" t="inlineStr">
        <is>
          <t>benefit</t>
        </is>
      </c>
      <c r="C5" s="3" t="n">
        <v>10</v>
      </c>
      <c r="D5" s="3" t="n">
        <v>10</v>
      </c>
      <c r="E5" s="3" t="n">
        <v>10</v>
      </c>
      <c r="F5" s="3" t="n"/>
      <c r="G5" s="3" t="inlineStr">
        <is>
          <t>Cost criteria: Equipment Cost, Setup Cost, Operating Cost, Maintenance Cost.</t>
        </is>
      </c>
    </row>
    <row r="6">
      <c r="A6" s="3" t="inlineStr">
        <is>
          <t>Process Optimization Capability</t>
        </is>
      </c>
      <c r="B6" s="3" t="inlineStr">
        <is>
          <t>benefit</t>
        </is>
      </c>
      <c r="C6" s="3" t="n">
        <v>10</v>
      </c>
      <c r="D6" s="3" t="n">
        <v>3</v>
      </c>
      <c r="E6" s="3" t="n">
        <v>4</v>
      </c>
      <c r="F6" s="3" t="n"/>
      <c r="G6" s="3" t="inlineStr">
        <is>
          <t>Regulatory criteria are benefit criteria: higher compliance/certification/permit readiness is better.</t>
        </is>
      </c>
    </row>
    <row r="7">
      <c r="A7" s="3" t="inlineStr">
        <is>
          <t>Infrastructure Availability</t>
        </is>
      </c>
      <c r="B7" s="3" t="inlineStr">
        <is>
          <t>benefit</t>
        </is>
      </c>
      <c r="C7" s="3" t="n">
        <v>10</v>
      </c>
      <c r="D7" s="3" t="n">
        <v>10</v>
      </c>
      <c r="E7" s="3" t="n">
        <v>10</v>
      </c>
      <c r="F7" s="3" t="n"/>
      <c r="G7" s="3" t="inlineStr">
        <is>
          <t>New regulatory sample inputs are initialized to 5/10 placeholders and should be replaced with assessed values.</t>
        </is>
      </c>
    </row>
    <row r="8">
      <c r="A8" s="3" t="inlineStr">
        <is>
          <t>Maintenance Systems</t>
        </is>
      </c>
      <c r="B8" s="3" t="inlineStr">
        <is>
          <t>benefit</t>
        </is>
      </c>
      <c r="C8" s="3" t="n">
        <v>3</v>
      </c>
      <c r="D8" s="3" t="n">
        <v>5</v>
      </c>
      <c r="E8" s="3" t="n">
        <v>7</v>
      </c>
      <c r="F8" s="3" t="n"/>
      <c r="G8" s="3" t="n"/>
    </row>
    <row r="9">
      <c r="A9" s="3" t="inlineStr">
        <is>
          <t>Industrial Utilities</t>
        </is>
      </c>
      <c r="B9" s="3" t="inlineStr">
        <is>
          <t>benefit</t>
        </is>
      </c>
      <c r="C9" s="3" t="n">
        <v>3</v>
      </c>
      <c r="D9" s="3" t="n">
        <v>5</v>
      </c>
      <c r="E9" s="3" t="n">
        <v>7</v>
      </c>
      <c r="F9" s="3" t="n"/>
      <c r="G9" s="3" t="n"/>
    </row>
    <row r="10">
      <c r="A10" s="3" t="inlineStr">
        <is>
          <t>Environmental Compliance</t>
        </is>
      </c>
      <c r="B10" s="3" t="inlineStr">
        <is>
          <t>benefit</t>
        </is>
      </c>
      <c r="C10" s="3" t="n">
        <v>3</v>
      </c>
      <c r="D10" s="3" t="n">
        <v>8</v>
      </c>
      <c r="E10" s="3" t="n">
        <v>8</v>
      </c>
      <c r="F10" s="3" t="n"/>
      <c r="G10" s="3" t="n"/>
    </row>
    <row r="11">
      <c r="A11" s="3" t="inlineStr">
        <is>
          <t>Waste Management Capability</t>
        </is>
      </c>
      <c r="B11" s="3" t="inlineStr">
        <is>
          <t>benefit</t>
        </is>
      </c>
      <c r="C11" s="3" t="n">
        <v>3</v>
      </c>
      <c r="D11" s="3" t="n">
        <v>10</v>
      </c>
      <c r="E11" s="3" t="n">
        <v>5</v>
      </c>
      <c r="F11" s="3" t="n"/>
      <c r="G11" s="3" t="n"/>
    </row>
    <row r="12">
      <c r="A12" s="3" t="inlineStr">
        <is>
          <t>HAZOP/HAZID Capability</t>
        </is>
      </c>
      <c r="B12" s="3" t="inlineStr">
        <is>
          <t>benefit</t>
        </is>
      </c>
      <c r="C12" s="3" t="n">
        <v>10</v>
      </c>
      <c r="D12" s="3" t="n">
        <v>6</v>
      </c>
      <c r="E12" s="3" t="n">
        <v>6</v>
      </c>
      <c r="F12" s="3" t="n"/>
      <c r="G12" s="3" t="n"/>
    </row>
    <row r="13">
      <c r="A13" s="3" t="inlineStr">
        <is>
          <t>Safety Management Systems</t>
        </is>
      </c>
      <c r="B13" s="3" t="inlineStr">
        <is>
          <t>benefit</t>
        </is>
      </c>
      <c r="C13" s="3" t="n">
        <v>6</v>
      </c>
      <c r="D13" s="3" t="n">
        <v>8</v>
      </c>
      <c r="E13" s="3" t="n">
        <v>8</v>
      </c>
      <c r="F13" s="3" t="n"/>
      <c r="G13" s="3" t="n"/>
    </row>
    <row r="14">
      <c r="A14" s="3" t="inlineStr">
        <is>
          <t>Equipment Cost</t>
        </is>
      </c>
      <c r="B14" s="3" t="inlineStr">
        <is>
          <t>cost</t>
        </is>
      </c>
      <c r="C14" s="4" t="n">
        <v>6958400</v>
      </c>
      <c r="D14" s="4" t="n">
        <v>5707998</v>
      </c>
      <c r="E14" s="4" t="n">
        <v>11497351</v>
      </c>
      <c r="F14" s="3" t="n"/>
      <c r="G14" s="3" t="n"/>
    </row>
    <row r="15">
      <c r="A15" s="3" t="inlineStr">
        <is>
          <t>Setup Cost</t>
        </is>
      </c>
      <c r="B15" s="3" t="inlineStr">
        <is>
          <t>cost</t>
        </is>
      </c>
      <c r="C15" s="4" t="n">
        <v>76907333</v>
      </c>
      <c r="D15" s="4" t="n">
        <v>66857053</v>
      </c>
      <c r="E15" s="4" t="n">
        <v>84101929</v>
      </c>
      <c r="F15" s="3" t="n"/>
      <c r="G15" s="3" t="n"/>
    </row>
    <row r="16">
      <c r="A16" s="3" t="inlineStr">
        <is>
          <t>Operating Cost</t>
        </is>
      </c>
      <c r="B16" s="3" t="inlineStr">
        <is>
          <t>cost</t>
        </is>
      </c>
      <c r="C16" s="4" t="n">
        <v>57280000</v>
      </c>
      <c r="D16" s="4" t="n">
        <v>48798880</v>
      </c>
      <c r="E16" s="4" t="n">
        <v>56380000</v>
      </c>
      <c r="F16" s="3" t="n"/>
      <c r="G16" s="3" t="n"/>
    </row>
    <row r="17">
      <c r="A17" s="3" t="inlineStr">
        <is>
          <t>Maintenance Cost</t>
        </is>
      </c>
      <c r="B17" s="3" t="inlineStr">
        <is>
          <t>cost</t>
        </is>
      </c>
      <c r="C17" s="4" t="n">
        <v>1800000</v>
      </c>
      <c r="D17" s="4" t="n">
        <v>1800000</v>
      </c>
      <c r="E17" s="4" t="n">
        <v>1800000</v>
      </c>
      <c r="F17" s="3" t="n"/>
      <c r="G17" s="3" t="n"/>
    </row>
    <row r="18">
      <c r="A18" s="3" t="inlineStr">
        <is>
          <t>NUPRC Compliance</t>
        </is>
      </c>
      <c r="B18" s="3" t="inlineStr">
        <is>
          <t>benefit</t>
        </is>
      </c>
      <c r="C18" s="3" t="n">
        <v>5</v>
      </c>
      <c r="D18" s="3" t="n">
        <v>5</v>
      </c>
      <c r="E18" s="3" t="n">
        <v>5</v>
      </c>
      <c r="F18" s="3" t="n"/>
      <c r="G18" s="3" t="n"/>
    </row>
    <row r="19">
      <c r="A19" s="3" t="inlineStr">
        <is>
          <t>NMDPRA Compliance</t>
        </is>
      </c>
      <c r="B19" s="3" t="inlineStr">
        <is>
          <t>benefit</t>
        </is>
      </c>
      <c r="C19" s="3" t="n">
        <v>5</v>
      </c>
      <c r="D19" s="3" t="n">
        <v>5</v>
      </c>
      <c r="E19" s="3" t="n">
        <v>5</v>
      </c>
      <c r="F19" s="3" t="n"/>
      <c r="G19" s="3" t="n"/>
    </row>
    <row r="20">
      <c r="A20" s="3" t="inlineStr">
        <is>
          <t>NCDMB Compliance</t>
        </is>
      </c>
      <c r="B20" s="3" t="inlineStr">
        <is>
          <t>benefit</t>
        </is>
      </c>
      <c r="C20" s="3" t="n">
        <v>5</v>
      </c>
      <c r="D20" s="3" t="n">
        <v>5</v>
      </c>
      <c r="E20" s="3" t="n">
        <v>5</v>
      </c>
      <c r="F20" s="3" t="n"/>
      <c r="G20" s="3" t="n"/>
    </row>
    <row r="21">
      <c r="A21" s="3" t="inlineStr">
        <is>
          <t>NOSDRA Compliance</t>
        </is>
      </c>
      <c r="B21" s="3" t="inlineStr">
        <is>
          <t>benefit</t>
        </is>
      </c>
      <c r="C21" s="3" t="n">
        <v>5</v>
      </c>
      <c r="D21" s="3" t="n">
        <v>5</v>
      </c>
      <c r="E21" s="3" t="n">
        <v>5</v>
      </c>
      <c r="F21" s="3" t="n"/>
      <c r="G21" s="3" t="n"/>
    </row>
    <row r="22">
      <c r="A22" s="3" t="inlineStr">
        <is>
          <t>Laboratory Certification</t>
        </is>
      </c>
      <c r="B22" s="3" t="inlineStr">
        <is>
          <t>benefit</t>
        </is>
      </c>
      <c r="C22" s="3" t="n">
        <v>1</v>
      </c>
      <c r="D22" s="3" t="n">
        <v>4</v>
      </c>
      <c r="E22" s="3" t="n">
        <v>10</v>
      </c>
      <c r="F22" s="3" t="n"/>
      <c r="G22" s="3" t="n"/>
    </row>
    <row r="23">
      <c r="A23" s="3" t="inlineStr">
        <is>
          <t>Environmental Permits</t>
        </is>
      </c>
      <c r="B23" s="3" t="inlineStr">
        <is>
          <t>benefit</t>
        </is>
      </c>
      <c r="C23" s="3" t="n">
        <v>3</v>
      </c>
      <c r="D23" s="3" t="n">
        <v>10</v>
      </c>
      <c r="E23" s="3" t="n">
        <v>7</v>
      </c>
      <c r="F23" s="3" t="n"/>
      <c r="G2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Criterion</t>
        </is>
      </c>
      <c r="B1" s="2" t="inlineStr">
        <is>
          <t>ALTERNATIVE A</t>
        </is>
      </c>
      <c r="C1" s="2" t="inlineStr">
        <is>
          <t>ALTERNATIVE B</t>
        </is>
      </c>
      <c r="D1" s="2" t="inlineStr">
        <is>
          <t>ALTERNATIVE C</t>
        </is>
      </c>
      <c r="E1" s="2" t="inlineStr">
        <is>
          <t>Type</t>
        </is>
      </c>
    </row>
    <row r="2">
      <c r="A2" s="3">
        <f>CHATBOT_INPUT!A2</f>
        <v/>
      </c>
      <c r="B2" s="3">
        <f>CHATBOT_INPUT!C2</f>
        <v/>
      </c>
      <c r="C2" s="3">
        <f>CHATBOT_INPUT!D2</f>
        <v/>
      </c>
      <c r="D2" s="3">
        <f>CHATBOT_INPUT!E2</f>
        <v/>
      </c>
      <c r="E2" s="3">
        <f>CHATBOT_INPUT!B2</f>
        <v/>
      </c>
    </row>
    <row r="3">
      <c r="A3" s="3">
        <f>CHATBOT_INPUT!A3</f>
        <v/>
      </c>
      <c r="B3" s="3">
        <f>CHATBOT_INPUT!C3</f>
        <v/>
      </c>
      <c r="C3" s="3">
        <f>CHATBOT_INPUT!D3</f>
        <v/>
      </c>
      <c r="D3" s="3">
        <f>CHATBOT_INPUT!E3</f>
        <v/>
      </c>
      <c r="E3" s="3">
        <f>CHATBOT_INPUT!B3</f>
        <v/>
      </c>
    </row>
    <row r="4">
      <c r="A4" s="3">
        <f>CHATBOT_INPUT!A4</f>
        <v/>
      </c>
      <c r="B4" s="3">
        <f>CHATBOT_INPUT!C4</f>
        <v/>
      </c>
      <c r="C4" s="3">
        <f>CHATBOT_INPUT!D4</f>
        <v/>
      </c>
      <c r="D4" s="3">
        <f>CHATBOT_INPUT!E4</f>
        <v/>
      </c>
      <c r="E4" s="3">
        <f>CHATBOT_INPUT!B4</f>
        <v/>
      </c>
    </row>
    <row r="5">
      <c r="A5" s="3">
        <f>CHATBOT_INPUT!A5</f>
        <v/>
      </c>
      <c r="B5" s="3">
        <f>CHATBOT_INPUT!C5</f>
        <v/>
      </c>
      <c r="C5" s="3">
        <f>CHATBOT_INPUT!D5</f>
        <v/>
      </c>
      <c r="D5" s="3">
        <f>CHATBOT_INPUT!E5</f>
        <v/>
      </c>
      <c r="E5" s="3">
        <f>CHATBOT_INPUT!B5</f>
        <v/>
      </c>
    </row>
    <row r="6">
      <c r="A6" s="3">
        <f>CHATBOT_INPUT!A6</f>
        <v/>
      </c>
      <c r="B6" s="3">
        <f>CHATBOT_INPUT!C6</f>
        <v/>
      </c>
      <c r="C6" s="3">
        <f>CHATBOT_INPUT!D6</f>
        <v/>
      </c>
      <c r="D6" s="3">
        <f>CHATBOT_INPUT!E6</f>
        <v/>
      </c>
      <c r="E6" s="3">
        <f>CHATBOT_INPUT!B6</f>
        <v/>
      </c>
    </row>
    <row r="7">
      <c r="A7" s="3">
        <f>CHATBOT_INPUT!A7</f>
        <v/>
      </c>
      <c r="B7" s="3">
        <f>CHATBOT_INPUT!C7</f>
        <v/>
      </c>
      <c r="C7" s="3">
        <f>CHATBOT_INPUT!D7</f>
        <v/>
      </c>
      <c r="D7" s="3">
        <f>CHATBOT_INPUT!E7</f>
        <v/>
      </c>
      <c r="E7" s="3">
        <f>CHATBOT_INPUT!B7</f>
        <v/>
      </c>
    </row>
    <row r="8">
      <c r="A8" s="3">
        <f>CHATBOT_INPUT!A8</f>
        <v/>
      </c>
      <c r="B8" s="3">
        <f>CHATBOT_INPUT!C8</f>
        <v/>
      </c>
      <c r="C8" s="3">
        <f>CHATBOT_INPUT!D8</f>
        <v/>
      </c>
      <c r="D8" s="3">
        <f>CHATBOT_INPUT!E8</f>
        <v/>
      </c>
      <c r="E8" s="3">
        <f>CHATBOT_INPUT!B8</f>
        <v/>
      </c>
    </row>
    <row r="9">
      <c r="A9" s="3">
        <f>CHATBOT_INPUT!A9</f>
        <v/>
      </c>
      <c r="B9" s="3">
        <f>CHATBOT_INPUT!C9</f>
        <v/>
      </c>
      <c r="C9" s="3">
        <f>CHATBOT_INPUT!D9</f>
        <v/>
      </c>
      <c r="D9" s="3">
        <f>CHATBOT_INPUT!E9</f>
        <v/>
      </c>
      <c r="E9" s="3">
        <f>CHATBOT_INPUT!B9</f>
        <v/>
      </c>
    </row>
    <row r="10">
      <c r="A10" s="3">
        <f>CHATBOT_INPUT!A10</f>
        <v/>
      </c>
      <c r="B10" s="3">
        <f>CHATBOT_INPUT!C10</f>
        <v/>
      </c>
      <c r="C10" s="3">
        <f>CHATBOT_INPUT!D10</f>
        <v/>
      </c>
      <c r="D10" s="3">
        <f>CHATBOT_INPUT!E10</f>
        <v/>
      </c>
      <c r="E10" s="3">
        <f>CHATBOT_INPUT!B10</f>
        <v/>
      </c>
    </row>
    <row r="11">
      <c r="A11" s="3">
        <f>CHATBOT_INPUT!A11</f>
        <v/>
      </c>
      <c r="B11" s="3">
        <f>CHATBOT_INPUT!C11</f>
        <v/>
      </c>
      <c r="C11" s="3">
        <f>CHATBOT_INPUT!D11</f>
        <v/>
      </c>
      <c r="D11" s="3">
        <f>CHATBOT_INPUT!E11</f>
        <v/>
      </c>
      <c r="E11" s="3">
        <f>CHATBOT_INPUT!B11</f>
        <v/>
      </c>
    </row>
    <row r="12">
      <c r="A12" s="3">
        <f>CHATBOT_INPUT!A12</f>
        <v/>
      </c>
      <c r="B12" s="3">
        <f>CHATBOT_INPUT!C12</f>
        <v/>
      </c>
      <c r="C12" s="3">
        <f>CHATBOT_INPUT!D12</f>
        <v/>
      </c>
      <c r="D12" s="3">
        <f>CHATBOT_INPUT!E12</f>
        <v/>
      </c>
      <c r="E12" s="3">
        <f>CHATBOT_INPUT!B12</f>
        <v/>
      </c>
    </row>
    <row r="13">
      <c r="A13" s="3">
        <f>CHATBOT_INPUT!A13</f>
        <v/>
      </c>
      <c r="B13" s="3">
        <f>CHATBOT_INPUT!C13</f>
        <v/>
      </c>
      <c r="C13" s="3">
        <f>CHATBOT_INPUT!D13</f>
        <v/>
      </c>
      <c r="D13" s="3">
        <f>CHATBOT_INPUT!E13</f>
        <v/>
      </c>
      <c r="E13" s="3">
        <f>CHATBOT_INPUT!B13</f>
        <v/>
      </c>
    </row>
    <row r="14">
      <c r="A14" s="3">
        <f>CHATBOT_INPUT!A14</f>
        <v/>
      </c>
      <c r="B14" s="3">
        <f>CHATBOT_INPUT!C14</f>
        <v/>
      </c>
      <c r="C14" s="3">
        <f>CHATBOT_INPUT!D14</f>
        <v/>
      </c>
      <c r="D14" s="3">
        <f>CHATBOT_INPUT!E14</f>
        <v/>
      </c>
      <c r="E14" s="3">
        <f>CHATBOT_INPUT!B14</f>
        <v/>
      </c>
    </row>
    <row r="15">
      <c r="A15" s="3">
        <f>CHATBOT_INPUT!A15</f>
        <v/>
      </c>
      <c r="B15" s="3">
        <f>CHATBOT_INPUT!C15</f>
        <v/>
      </c>
      <c r="C15" s="3">
        <f>CHATBOT_INPUT!D15</f>
        <v/>
      </c>
      <c r="D15" s="3">
        <f>CHATBOT_INPUT!E15</f>
        <v/>
      </c>
      <c r="E15" s="3">
        <f>CHATBOT_INPUT!B15</f>
        <v/>
      </c>
    </row>
    <row r="16">
      <c r="A16" s="3">
        <f>CHATBOT_INPUT!A16</f>
        <v/>
      </c>
      <c r="B16" s="3">
        <f>CHATBOT_INPUT!C16</f>
        <v/>
      </c>
      <c r="C16" s="3">
        <f>CHATBOT_INPUT!D16</f>
        <v/>
      </c>
      <c r="D16" s="3">
        <f>CHATBOT_INPUT!E16</f>
        <v/>
      </c>
      <c r="E16" s="3">
        <f>CHATBOT_INPUT!B16</f>
        <v/>
      </c>
    </row>
    <row r="17">
      <c r="A17" s="3">
        <f>CHATBOT_INPUT!A17</f>
        <v/>
      </c>
      <c r="B17" s="3">
        <f>CHATBOT_INPUT!C17</f>
        <v/>
      </c>
      <c r="C17" s="3">
        <f>CHATBOT_INPUT!D17</f>
        <v/>
      </c>
      <c r="D17" s="3">
        <f>CHATBOT_INPUT!E17</f>
        <v/>
      </c>
      <c r="E17" s="3">
        <f>CHATBOT_INPUT!B17</f>
        <v/>
      </c>
    </row>
    <row r="18">
      <c r="A18" s="3">
        <f>CHATBOT_INPUT!A18</f>
        <v/>
      </c>
      <c r="B18" s="3">
        <f>CHATBOT_INPUT!C18</f>
        <v/>
      </c>
      <c r="C18" s="3">
        <f>CHATBOT_INPUT!D18</f>
        <v/>
      </c>
      <c r="D18" s="3">
        <f>CHATBOT_INPUT!E18</f>
        <v/>
      </c>
      <c r="E18" s="3">
        <f>CHATBOT_INPUT!B18</f>
        <v/>
      </c>
    </row>
    <row r="19">
      <c r="A19" s="3">
        <f>CHATBOT_INPUT!A19</f>
        <v/>
      </c>
      <c r="B19" s="3">
        <f>CHATBOT_INPUT!C19</f>
        <v/>
      </c>
      <c r="C19" s="3">
        <f>CHATBOT_INPUT!D19</f>
        <v/>
      </c>
      <c r="D19" s="3">
        <f>CHATBOT_INPUT!E19</f>
        <v/>
      </c>
      <c r="E19" s="3">
        <f>CHATBOT_INPUT!B19</f>
        <v/>
      </c>
    </row>
    <row r="20">
      <c r="A20" s="3">
        <f>CHATBOT_INPUT!A20</f>
        <v/>
      </c>
      <c r="B20" s="3">
        <f>CHATBOT_INPUT!C20</f>
        <v/>
      </c>
      <c r="C20" s="3">
        <f>CHATBOT_INPUT!D20</f>
        <v/>
      </c>
      <c r="D20" s="3">
        <f>CHATBOT_INPUT!E20</f>
        <v/>
      </c>
      <c r="E20" s="3">
        <f>CHATBOT_INPUT!B20</f>
        <v/>
      </c>
    </row>
    <row r="21">
      <c r="A21" s="3">
        <f>CHATBOT_INPUT!A21</f>
        <v/>
      </c>
      <c r="B21" s="3">
        <f>CHATBOT_INPUT!C21</f>
        <v/>
      </c>
      <c r="C21" s="3">
        <f>CHATBOT_INPUT!D21</f>
        <v/>
      </c>
      <c r="D21" s="3">
        <f>CHATBOT_INPUT!E21</f>
        <v/>
      </c>
      <c r="E21" s="3">
        <f>CHATBOT_INPUT!B21</f>
        <v/>
      </c>
    </row>
    <row r="22">
      <c r="A22" s="3">
        <f>CHATBOT_INPUT!A22</f>
        <v/>
      </c>
      <c r="B22" s="3">
        <f>CHATBOT_INPUT!C22</f>
        <v/>
      </c>
      <c r="C22" s="3">
        <f>CHATBOT_INPUT!D22</f>
        <v/>
      </c>
      <c r="D22" s="3">
        <f>CHATBOT_INPUT!E22</f>
        <v/>
      </c>
      <c r="E22" s="3">
        <f>CHATBOT_INPUT!B22</f>
        <v/>
      </c>
    </row>
    <row r="23">
      <c r="A23" s="3">
        <f>CHATBOT_INPUT!A23</f>
        <v/>
      </c>
      <c r="B23" s="3">
        <f>CHATBOT_INPUT!C23</f>
        <v/>
      </c>
      <c r="C23" s="3">
        <f>CHATBOT_INPUT!D23</f>
        <v/>
      </c>
      <c r="D23" s="3">
        <f>CHATBOT_INPUT!E23</f>
        <v/>
      </c>
      <c r="E23" s="3">
        <f>CHATBOT_INPUT!B23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24" customWidth="1" min="10" max="10"/>
  </cols>
  <sheetData>
    <row r="1">
      <c r="A1" s="2" t="inlineStr">
        <is>
          <t>Criterion</t>
        </is>
      </c>
      <c r="B1" s="2" t="inlineStr">
        <is>
          <t>ALTERNATIVE A</t>
        </is>
      </c>
      <c r="C1" s="2" t="inlineStr">
        <is>
          <t>ALTERNATIVE B</t>
        </is>
      </c>
      <c r="D1" s="2" t="inlineStr">
        <is>
          <t>ALTERNATIVE C</t>
        </is>
      </c>
      <c r="E1" s="2" t="inlineStr">
        <is>
          <t>DENOMINATOR</t>
        </is>
      </c>
      <c r="F1" s="2" t="inlineStr">
        <is>
          <t>NORMALIZED A</t>
        </is>
      </c>
      <c r="G1" s="2" t="inlineStr">
        <is>
          <t>NORMALIZED B</t>
        </is>
      </c>
      <c r="H1" s="2" t="inlineStr">
        <is>
          <t>NORMALIZED C</t>
        </is>
      </c>
      <c r="I1" s="2" t="inlineStr">
        <is>
          <t>MAIN CRITERION WEIGHT</t>
        </is>
      </c>
      <c r="J1" s="2" t="inlineStr">
        <is>
          <t>GLOBAL SUBCRITERION WEIGHT</t>
        </is>
      </c>
    </row>
    <row r="2">
      <c r="A2" s="3">
        <f>'DECISION MATRIX'!A2</f>
        <v/>
      </c>
      <c r="B2" s="3">
        <f>'DECISION MATRIX'!B2</f>
        <v/>
      </c>
      <c r="C2" s="3">
        <f>'DECISION MATRIX'!C2</f>
        <v/>
      </c>
      <c r="D2" s="3">
        <f>'DECISION MATRIX'!D2</f>
        <v/>
      </c>
      <c r="E2" s="3">
        <f>SQRT(B2^2+C2^2+D2^2)</f>
        <v/>
      </c>
      <c r="F2" s="3">
        <f>B2/E2</f>
        <v/>
      </c>
      <c r="G2" s="3">
        <f>C2/E2</f>
        <v/>
      </c>
      <c r="H2" s="3">
        <f>D2/E2</f>
        <v/>
      </c>
      <c r="I2" s="3">
        <f>'CONSISTENCY CHECK'!B19</f>
        <v/>
      </c>
      <c r="J2" s="3">
        <f>I2/5</f>
        <v/>
      </c>
    </row>
    <row r="3">
      <c r="A3" s="3">
        <f>'DECISION MATRIX'!A3</f>
        <v/>
      </c>
      <c r="B3" s="3">
        <f>'DECISION MATRIX'!B3</f>
        <v/>
      </c>
      <c r="C3" s="3">
        <f>'DECISION MATRIX'!C3</f>
        <v/>
      </c>
      <c r="D3" s="3">
        <f>'DECISION MATRIX'!D3</f>
        <v/>
      </c>
      <c r="E3" s="3">
        <f>SQRT(B3^2+C3^2+D3^2)</f>
        <v/>
      </c>
      <c r="F3" s="3">
        <f>B3/E3</f>
        <v/>
      </c>
      <c r="G3" s="3">
        <f>C3/E3</f>
        <v/>
      </c>
      <c r="H3" s="3">
        <f>D3/E3</f>
        <v/>
      </c>
      <c r="I3" s="3">
        <f>'CONSISTENCY CHECK'!B19</f>
        <v/>
      </c>
      <c r="J3" s="3">
        <f>I3/5</f>
        <v/>
      </c>
    </row>
    <row r="4">
      <c r="A4" s="3">
        <f>'DECISION MATRIX'!A4</f>
        <v/>
      </c>
      <c r="B4" s="3">
        <f>'DECISION MATRIX'!B4</f>
        <v/>
      </c>
      <c r="C4" s="3">
        <f>'DECISION MATRIX'!C4</f>
        <v/>
      </c>
      <c r="D4" s="3">
        <f>'DECISION MATRIX'!D4</f>
        <v/>
      </c>
      <c r="E4" s="3">
        <f>SQRT(B4^2+C4^2+D4^2)</f>
        <v/>
      </c>
      <c r="F4" s="3">
        <f>B4/E4</f>
        <v/>
      </c>
      <c r="G4" s="3">
        <f>C4/E4</f>
        <v/>
      </c>
      <c r="H4" s="3">
        <f>D4/E4</f>
        <v/>
      </c>
      <c r="I4" s="3">
        <f>'CONSISTENCY CHECK'!B19</f>
        <v/>
      </c>
      <c r="J4" s="3">
        <f>I4/5</f>
        <v/>
      </c>
    </row>
    <row r="5">
      <c r="A5" s="3">
        <f>'DECISION MATRIX'!A5</f>
        <v/>
      </c>
      <c r="B5" s="3">
        <f>'DECISION MATRIX'!B5</f>
        <v/>
      </c>
      <c r="C5" s="3">
        <f>'DECISION MATRIX'!C5</f>
        <v/>
      </c>
      <c r="D5" s="3">
        <f>'DECISION MATRIX'!D5</f>
        <v/>
      </c>
      <c r="E5" s="3">
        <f>SQRT(B5^2+C5^2+D5^2)</f>
        <v/>
      </c>
      <c r="F5" s="3">
        <f>B5/E5</f>
        <v/>
      </c>
      <c r="G5" s="3">
        <f>C5/E5</f>
        <v/>
      </c>
      <c r="H5" s="3">
        <f>D5/E5</f>
        <v/>
      </c>
      <c r="I5" s="3">
        <f>'CONSISTENCY CHECK'!B19</f>
        <v/>
      </c>
      <c r="J5" s="3">
        <f>I5/5</f>
        <v/>
      </c>
    </row>
    <row r="6">
      <c r="A6" s="3">
        <f>'DECISION MATRIX'!A6</f>
        <v/>
      </c>
      <c r="B6" s="3">
        <f>'DECISION MATRIX'!B6</f>
        <v/>
      </c>
      <c r="C6" s="3">
        <f>'DECISION MATRIX'!C6</f>
        <v/>
      </c>
      <c r="D6" s="3">
        <f>'DECISION MATRIX'!D6</f>
        <v/>
      </c>
      <c r="E6" s="3">
        <f>SQRT(B6^2+C6^2+D6^2)</f>
        <v/>
      </c>
      <c r="F6" s="3">
        <f>B6/E6</f>
        <v/>
      </c>
      <c r="G6" s="3">
        <f>C6/E6</f>
        <v/>
      </c>
      <c r="H6" s="3">
        <f>D6/E6</f>
        <v/>
      </c>
      <c r="I6" s="3">
        <f>'CONSISTENCY CHECK'!B19</f>
        <v/>
      </c>
      <c r="J6" s="3">
        <f>I6/5</f>
        <v/>
      </c>
    </row>
    <row r="7">
      <c r="A7" s="3">
        <f>'DECISION MATRIX'!A7</f>
        <v/>
      </c>
      <c r="B7" s="3">
        <f>'DECISION MATRIX'!B7</f>
        <v/>
      </c>
      <c r="C7" s="3">
        <f>'DECISION MATRIX'!C7</f>
        <v/>
      </c>
      <c r="D7" s="3">
        <f>'DECISION MATRIX'!D7</f>
        <v/>
      </c>
      <c r="E7" s="3">
        <f>SQRT(B7^2+C7^2+D7^2)</f>
        <v/>
      </c>
      <c r="F7" s="3">
        <f>B7/E7</f>
        <v/>
      </c>
      <c r="G7" s="3">
        <f>C7/E7</f>
        <v/>
      </c>
      <c r="H7" s="3">
        <f>D7/E7</f>
        <v/>
      </c>
      <c r="I7" s="3">
        <f>'CONSISTENCY CHECK'!B20</f>
        <v/>
      </c>
      <c r="J7" s="3">
        <f>I7/3</f>
        <v/>
      </c>
    </row>
    <row r="8">
      <c r="A8" s="3">
        <f>'DECISION MATRIX'!A8</f>
        <v/>
      </c>
      <c r="B8" s="3">
        <f>'DECISION MATRIX'!B8</f>
        <v/>
      </c>
      <c r="C8" s="3">
        <f>'DECISION MATRIX'!C8</f>
        <v/>
      </c>
      <c r="D8" s="3">
        <f>'DECISION MATRIX'!D8</f>
        <v/>
      </c>
      <c r="E8" s="3">
        <f>SQRT(B8^2+C8^2+D8^2)</f>
        <v/>
      </c>
      <c r="F8" s="3">
        <f>B8/E8</f>
        <v/>
      </c>
      <c r="G8" s="3">
        <f>C8/E8</f>
        <v/>
      </c>
      <c r="H8" s="3">
        <f>D8/E8</f>
        <v/>
      </c>
      <c r="I8" s="3">
        <f>'CONSISTENCY CHECK'!B20</f>
        <v/>
      </c>
      <c r="J8" s="3">
        <f>I8/3</f>
        <v/>
      </c>
    </row>
    <row r="9">
      <c r="A9" s="3">
        <f>'DECISION MATRIX'!A9</f>
        <v/>
      </c>
      <c r="B9" s="3">
        <f>'DECISION MATRIX'!B9</f>
        <v/>
      </c>
      <c r="C9" s="3">
        <f>'DECISION MATRIX'!C9</f>
        <v/>
      </c>
      <c r="D9" s="3">
        <f>'DECISION MATRIX'!D9</f>
        <v/>
      </c>
      <c r="E9" s="3">
        <f>SQRT(B9^2+C9^2+D9^2)</f>
        <v/>
      </c>
      <c r="F9" s="3">
        <f>B9/E9</f>
        <v/>
      </c>
      <c r="G9" s="3">
        <f>C9/E9</f>
        <v/>
      </c>
      <c r="H9" s="3">
        <f>D9/E9</f>
        <v/>
      </c>
      <c r="I9" s="3">
        <f>'CONSISTENCY CHECK'!B20</f>
        <v/>
      </c>
      <c r="J9" s="3">
        <f>I9/3</f>
        <v/>
      </c>
    </row>
    <row r="10">
      <c r="A10" s="3">
        <f>'DECISION MATRIX'!A10</f>
        <v/>
      </c>
      <c r="B10" s="3">
        <f>'DECISION MATRIX'!B10</f>
        <v/>
      </c>
      <c r="C10" s="3">
        <f>'DECISION MATRIX'!C10</f>
        <v/>
      </c>
      <c r="D10" s="3">
        <f>'DECISION MATRIX'!D10</f>
        <v/>
      </c>
      <c r="E10" s="3">
        <f>SQRT(B10^2+C10^2+D10^2)</f>
        <v/>
      </c>
      <c r="F10" s="3">
        <f>B10/E10</f>
        <v/>
      </c>
      <c r="G10" s="3">
        <f>C10/E10</f>
        <v/>
      </c>
      <c r="H10" s="3">
        <f>D10/E10</f>
        <v/>
      </c>
      <c r="I10" s="3">
        <f>'CONSISTENCY CHECK'!B21</f>
        <v/>
      </c>
      <c r="J10" s="3">
        <f>I10/4</f>
        <v/>
      </c>
    </row>
    <row r="11">
      <c r="A11" s="3">
        <f>'DECISION MATRIX'!A11</f>
        <v/>
      </c>
      <c r="B11" s="3">
        <f>'DECISION MATRIX'!B11</f>
        <v/>
      </c>
      <c r="C11" s="3">
        <f>'DECISION MATRIX'!C11</f>
        <v/>
      </c>
      <c r="D11" s="3">
        <f>'DECISION MATRIX'!D11</f>
        <v/>
      </c>
      <c r="E11" s="3">
        <f>SQRT(B11^2+C11^2+D11^2)</f>
        <v/>
      </c>
      <c r="F11" s="3">
        <f>B11/E11</f>
        <v/>
      </c>
      <c r="G11" s="3">
        <f>C11/E11</f>
        <v/>
      </c>
      <c r="H11" s="3">
        <f>D11/E11</f>
        <v/>
      </c>
      <c r="I11" s="3">
        <f>'CONSISTENCY CHECK'!B21</f>
        <v/>
      </c>
      <c r="J11" s="3">
        <f>I11/4</f>
        <v/>
      </c>
    </row>
    <row r="12">
      <c r="A12" s="3">
        <f>'DECISION MATRIX'!A12</f>
        <v/>
      </c>
      <c r="B12" s="3">
        <f>'DECISION MATRIX'!B12</f>
        <v/>
      </c>
      <c r="C12" s="3">
        <f>'DECISION MATRIX'!C12</f>
        <v/>
      </c>
      <c r="D12" s="3">
        <f>'DECISION MATRIX'!D12</f>
        <v/>
      </c>
      <c r="E12" s="3">
        <f>SQRT(B12^2+C12^2+D12^2)</f>
        <v/>
      </c>
      <c r="F12" s="3">
        <f>B12/E12</f>
        <v/>
      </c>
      <c r="G12" s="3">
        <f>C12/E12</f>
        <v/>
      </c>
      <c r="H12" s="3">
        <f>D12/E12</f>
        <v/>
      </c>
      <c r="I12" s="3">
        <f>'CONSISTENCY CHECK'!B21</f>
        <v/>
      </c>
      <c r="J12" s="3">
        <f>I12/4</f>
        <v/>
      </c>
    </row>
    <row r="13">
      <c r="A13" s="3">
        <f>'DECISION MATRIX'!A13</f>
        <v/>
      </c>
      <c r="B13" s="3">
        <f>'DECISION MATRIX'!B13</f>
        <v/>
      </c>
      <c r="C13" s="3">
        <f>'DECISION MATRIX'!C13</f>
        <v/>
      </c>
      <c r="D13" s="3">
        <f>'DECISION MATRIX'!D13</f>
        <v/>
      </c>
      <c r="E13" s="3">
        <f>SQRT(B13^2+C13^2+D13^2)</f>
        <v/>
      </c>
      <c r="F13" s="3">
        <f>B13/E13</f>
        <v/>
      </c>
      <c r="G13" s="3">
        <f>C13/E13</f>
        <v/>
      </c>
      <c r="H13" s="3">
        <f>D13/E13</f>
        <v/>
      </c>
      <c r="I13" s="3">
        <f>'CONSISTENCY CHECK'!B21</f>
        <v/>
      </c>
      <c r="J13" s="3">
        <f>I13/4</f>
        <v/>
      </c>
    </row>
    <row r="14">
      <c r="A14" s="3">
        <f>'DECISION MATRIX'!A14</f>
        <v/>
      </c>
      <c r="B14" s="3">
        <f>'DECISION MATRIX'!B14</f>
        <v/>
      </c>
      <c r="C14" s="3">
        <f>'DECISION MATRIX'!C14</f>
        <v/>
      </c>
      <c r="D14" s="3">
        <f>'DECISION MATRIX'!D14</f>
        <v/>
      </c>
      <c r="E14" s="3">
        <f>SQRT(B14^2+C14^2+D14^2)</f>
        <v/>
      </c>
      <c r="F14" s="3">
        <f>B14/E14</f>
        <v/>
      </c>
      <c r="G14" s="3">
        <f>C14/E14</f>
        <v/>
      </c>
      <c r="H14" s="3">
        <f>D14/E14</f>
        <v/>
      </c>
      <c r="I14" s="3">
        <f>'CONSISTENCY CHECK'!B22</f>
        <v/>
      </c>
      <c r="J14" s="3">
        <f>I14/4</f>
        <v/>
      </c>
    </row>
    <row r="15">
      <c r="A15" s="3">
        <f>'DECISION MATRIX'!A15</f>
        <v/>
      </c>
      <c r="B15" s="3">
        <f>'DECISION MATRIX'!B15</f>
        <v/>
      </c>
      <c r="C15" s="3">
        <f>'DECISION MATRIX'!C15</f>
        <v/>
      </c>
      <c r="D15" s="3">
        <f>'DECISION MATRIX'!D15</f>
        <v/>
      </c>
      <c r="E15" s="3">
        <f>SQRT(B15^2+C15^2+D15^2)</f>
        <v/>
      </c>
      <c r="F15" s="3">
        <f>B15/E15</f>
        <v/>
      </c>
      <c r="G15" s="3">
        <f>C15/E15</f>
        <v/>
      </c>
      <c r="H15" s="3">
        <f>D15/E15</f>
        <v/>
      </c>
      <c r="I15" s="3">
        <f>'CONSISTENCY CHECK'!B22</f>
        <v/>
      </c>
      <c r="J15" s="3">
        <f>I15/4</f>
        <v/>
      </c>
    </row>
    <row r="16">
      <c r="A16" s="3">
        <f>'DECISION MATRIX'!A16</f>
        <v/>
      </c>
      <c r="B16" s="3">
        <f>'DECISION MATRIX'!B16</f>
        <v/>
      </c>
      <c r="C16" s="3">
        <f>'DECISION MATRIX'!C16</f>
        <v/>
      </c>
      <c r="D16" s="3">
        <f>'DECISION MATRIX'!D16</f>
        <v/>
      </c>
      <c r="E16" s="3">
        <f>SQRT(B16^2+C16^2+D16^2)</f>
        <v/>
      </c>
      <c r="F16" s="3">
        <f>B16/E16</f>
        <v/>
      </c>
      <c r="G16" s="3">
        <f>C16/E16</f>
        <v/>
      </c>
      <c r="H16" s="3">
        <f>D16/E16</f>
        <v/>
      </c>
      <c r="I16" s="3">
        <f>'CONSISTENCY CHECK'!B22</f>
        <v/>
      </c>
      <c r="J16" s="3">
        <f>I16/4</f>
        <v/>
      </c>
    </row>
    <row r="17">
      <c r="A17" s="3">
        <f>'DECISION MATRIX'!A17</f>
        <v/>
      </c>
      <c r="B17" s="3">
        <f>'DECISION MATRIX'!B17</f>
        <v/>
      </c>
      <c r="C17" s="3">
        <f>'DECISION MATRIX'!C17</f>
        <v/>
      </c>
      <c r="D17" s="3">
        <f>'DECISION MATRIX'!D17</f>
        <v/>
      </c>
      <c r="E17" s="3">
        <f>SQRT(B17^2+C17^2+D17^2)</f>
        <v/>
      </c>
      <c r="F17" s="3">
        <f>B17/E17</f>
        <v/>
      </c>
      <c r="G17" s="3">
        <f>C17/E17</f>
        <v/>
      </c>
      <c r="H17" s="3">
        <f>D17/E17</f>
        <v/>
      </c>
      <c r="I17" s="3">
        <f>'CONSISTENCY CHECK'!B22</f>
        <v/>
      </c>
      <c r="J17" s="3">
        <f>I17/4</f>
        <v/>
      </c>
    </row>
    <row r="18">
      <c r="A18" s="3">
        <f>'DECISION MATRIX'!A18</f>
        <v/>
      </c>
      <c r="B18" s="3">
        <f>'DECISION MATRIX'!B18</f>
        <v/>
      </c>
      <c r="C18" s="3">
        <f>'DECISION MATRIX'!C18</f>
        <v/>
      </c>
      <c r="D18" s="3">
        <f>'DECISION MATRIX'!D18</f>
        <v/>
      </c>
      <c r="E18" s="3">
        <f>SQRT(B18^2+C18^2+D18^2)</f>
        <v/>
      </c>
      <c r="F18" s="3">
        <f>B18/E18</f>
        <v/>
      </c>
      <c r="G18" s="3">
        <f>C18/E18</f>
        <v/>
      </c>
      <c r="H18" s="3">
        <f>D18/E18</f>
        <v/>
      </c>
      <c r="I18" s="3">
        <f>'CONSISTENCY CHECK'!B23</f>
        <v/>
      </c>
      <c r="J18" s="3">
        <f>I18/6</f>
        <v/>
      </c>
    </row>
    <row r="19">
      <c r="A19" s="3">
        <f>'DECISION MATRIX'!A19</f>
        <v/>
      </c>
      <c r="B19" s="3">
        <f>'DECISION MATRIX'!B19</f>
        <v/>
      </c>
      <c r="C19" s="3">
        <f>'DECISION MATRIX'!C19</f>
        <v/>
      </c>
      <c r="D19" s="3">
        <f>'DECISION MATRIX'!D19</f>
        <v/>
      </c>
      <c r="E19" s="3">
        <f>SQRT(B19^2+C19^2+D19^2)</f>
        <v/>
      </c>
      <c r="F19" s="3">
        <f>B19/E19</f>
        <v/>
      </c>
      <c r="G19" s="3">
        <f>C19/E19</f>
        <v/>
      </c>
      <c r="H19" s="3">
        <f>D19/E19</f>
        <v/>
      </c>
      <c r="I19" s="3">
        <f>'CONSISTENCY CHECK'!B23</f>
        <v/>
      </c>
      <c r="J19" s="3">
        <f>I19/6</f>
        <v/>
      </c>
    </row>
    <row r="20">
      <c r="A20" s="3">
        <f>'DECISION MATRIX'!A20</f>
        <v/>
      </c>
      <c r="B20" s="3">
        <f>'DECISION MATRIX'!B20</f>
        <v/>
      </c>
      <c r="C20" s="3">
        <f>'DECISION MATRIX'!C20</f>
        <v/>
      </c>
      <c r="D20" s="3">
        <f>'DECISION MATRIX'!D20</f>
        <v/>
      </c>
      <c r="E20" s="3">
        <f>SQRT(B20^2+C20^2+D20^2)</f>
        <v/>
      </c>
      <c r="F20" s="3">
        <f>B20/E20</f>
        <v/>
      </c>
      <c r="G20" s="3">
        <f>C20/E20</f>
        <v/>
      </c>
      <c r="H20" s="3">
        <f>D20/E20</f>
        <v/>
      </c>
      <c r="I20" s="3">
        <f>'CONSISTENCY CHECK'!B23</f>
        <v/>
      </c>
      <c r="J20" s="3">
        <f>I20/6</f>
        <v/>
      </c>
    </row>
    <row r="21">
      <c r="A21" s="3">
        <f>'DECISION MATRIX'!A21</f>
        <v/>
      </c>
      <c r="B21" s="3">
        <f>'DECISION MATRIX'!B21</f>
        <v/>
      </c>
      <c r="C21" s="3">
        <f>'DECISION MATRIX'!C21</f>
        <v/>
      </c>
      <c r="D21" s="3">
        <f>'DECISION MATRIX'!D21</f>
        <v/>
      </c>
      <c r="E21" s="3">
        <f>SQRT(B21^2+C21^2+D21^2)</f>
        <v/>
      </c>
      <c r="F21" s="3">
        <f>B21/E21</f>
        <v/>
      </c>
      <c r="G21" s="3">
        <f>C21/E21</f>
        <v/>
      </c>
      <c r="H21" s="3">
        <f>D21/E21</f>
        <v/>
      </c>
      <c r="I21" s="3">
        <f>'CONSISTENCY CHECK'!B23</f>
        <v/>
      </c>
      <c r="J21" s="3">
        <f>I21/6</f>
        <v/>
      </c>
    </row>
    <row r="22">
      <c r="A22" s="3">
        <f>'DECISION MATRIX'!A22</f>
        <v/>
      </c>
      <c r="B22" s="3">
        <f>'DECISION MATRIX'!B22</f>
        <v/>
      </c>
      <c r="C22" s="3">
        <f>'DECISION MATRIX'!C22</f>
        <v/>
      </c>
      <c r="D22" s="3">
        <f>'DECISION MATRIX'!D22</f>
        <v/>
      </c>
      <c r="E22" s="3">
        <f>SQRT(B22^2+C22^2+D22^2)</f>
        <v/>
      </c>
      <c r="F22" s="3">
        <f>B22/E22</f>
        <v/>
      </c>
      <c r="G22" s="3">
        <f>C22/E22</f>
        <v/>
      </c>
      <c r="H22" s="3">
        <f>D22/E22</f>
        <v/>
      </c>
      <c r="I22" s="3">
        <f>'CONSISTENCY CHECK'!B23</f>
        <v/>
      </c>
      <c r="J22" s="3">
        <f>I22/6</f>
        <v/>
      </c>
    </row>
    <row r="23">
      <c r="A23" s="3">
        <f>'DECISION MATRIX'!A23</f>
        <v/>
      </c>
      <c r="B23" s="3">
        <f>'DECISION MATRIX'!B23</f>
        <v/>
      </c>
      <c r="C23" s="3">
        <f>'DECISION MATRIX'!C23</f>
        <v/>
      </c>
      <c r="D23" s="3">
        <f>'DECISION MATRIX'!D23</f>
        <v/>
      </c>
      <c r="E23" s="3">
        <f>SQRT(B23^2+C23^2+D23^2)</f>
        <v/>
      </c>
      <c r="F23" s="3">
        <f>B23/E23</f>
        <v/>
      </c>
      <c r="G23" s="3">
        <f>C23/E23</f>
        <v/>
      </c>
      <c r="H23" s="3">
        <f>D23/E23</f>
        <v/>
      </c>
      <c r="I23" s="3">
        <f>'CONSISTENCY CHECK'!B23</f>
        <v/>
      </c>
      <c r="J23" s="3">
        <f>I23/6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Criterion</t>
        </is>
      </c>
      <c r="B1" s="2" t="inlineStr">
        <is>
          <t>GLOBAL WEIGHT</t>
        </is>
      </c>
      <c r="C1" s="2" t="inlineStr">
        <is>
          <t>NORMALISED A</t>
        </is>
      </c>
      <c r="D1" s="2" t="inlineStr">
        <is>
          <t>NORMALISED B</t>
        </is>
      </c>
      <c r="E1" s="2" t="inlineStr">
        <is>
          <t>NORMALISED C</t>
        </is>
      </c>
      <c r="F1" s="2" t="inlineStr">
        <is>
          <t>WEIGHTED A</t>
        </is>
      </c>
      <c r="G1" s="2" t="inlineStr">
        <is>
          <t>WEIGHTED B</t>
        </is>
      </c>
      <c r="H1" s="2" t="inlineStr">
        <is>
          <t>WEIGHTED C</t>
        </is>
      </c>
    </row>
    <row r="2">
      <c r="A2" s="3">
        <f>'NORMALIZED DECISION MATRIX'!A2</f>
        <v/>
      </c>
      <c r="B2" s="3">
        <f>'NORMALIZED DECISION MATRIX'!J2</f>
        <v/>
      </c>
      <c r="C2" s="3">
        <f>'NORMALIZED DECISION MATRIX'!F2</f>
        <v/>
      </c>
      <c r="D2" s="3">
        <f>'NORMALIZED DECISION MATRIX'!G2</f>
        <v/>
      </c>
      <c r="E2" s="3">
        <f>'NORMALIZED DECISION MATRIX'!H2</f>
        <v/>
      </c>
      <c r="F2" s="3">
        <f>B2*C2</f>
        <v/>
      </c>
      <c r="G2" s="3">
        <f>B2*D2</f>
        <v/>
      </c>
      <c r="H2" s="3">
        <f>B2*E2</f>
        <v/>
      </c>
    </row>
    <row r="3">
      <c r="A3" s="3">
        <f>'NORMALIZED DECISION MATRIX'!A3</f>
        <v/>
      </c>
      <c r="B3" s="3">
        <f>'NORMALIZED DECISION MATRIX'!J3</f>
        <v/>
      </c>
      <c r="C3" s="3">
        <f>'NORMALIZED DECISION MATRIX'!F3</f>
        <v/>
      </c>
      <c r="D3" s="3">
        <f>'NORMALIZED DECISION MATRIX'!G3</f>
        <v/>
      </c>
      <c r="E3" s="3">
        <f>'NORMALIZED DECISION MATRIX'!H3</f>
        <v/>
      </c>
      <c r="F3" s="3">
        <f>B3*C3</f>
        <v/>
      </c>
      <c r="G3" s="3">
        <f>B3*D3</f>
        <v/>
      </c>
      <c r="H3" s="3">
        <f>B3*E3</f>
        <v/>
      </c>
    </row>
    <row r="4">
      <c r="A4" s="3">
        <f>'NORMALIZED DECISION MATRIX'!A4</f>
        <v/>
      </c>
      <c r="B4" s="3">
        <f>'NORMALIZED DECISION MATRIX'!J4</f>
        <v/>
      </c>
      <c r="C4" s="3">
        <f>'NORMALIZED DECISION MATRIX'!F4</f>
        <v/>
      </c>
      <c r="D4" s="3">
        <f>'NORMALIZED DECISION MATRIX'!G4</f>
        <v/>
      </c>
      <c r="E4" s="3">
        <f>'NORMALIZED DECISION MATRIX'!H4</f>
        <v/>
      </c>
      <c r="F4" s="3">
        <f>B4*C4</f>
        <v/>
      </c>
      <c r="G4" s="3">
        <f>B4*D4</f>
        <v/>
      </c>
      <c r="H4" s="3">
        <f>B4*E4</f>
        <v/>
      </c>
    </row>
    <row r="5">
      <c r="A5" s="3">
        <f>'NORMALIZED DECISION MATRIX'!A5</f>
        <v/>
      </c>
      <c r="B5" s="3">
        <f>'NORMALIZED DECISION MATRIX'!J5</f>
        <v/>
      </c>
      <c r="C5" s="3">
        <f>'NORMALIZED DECISION MATRIX'!F5</f>
        <v/>
      </c>
      <c r="D5" s="3">
        <f>'NORMALIZED DECISION MATRIX'!G5</f>
        <v/>
      </c>
      <c r="E5" s="3">
        <f>'NORMALIZED DECISION MATRIX'!H5</f>
        <v/>
      </c>
      <c r="F5" s="3">
        <f>B5*C5</f>
        <v/>
      </c>
      <c r="G5" s="3">
        <f>B5*D5</f>
        <v/>
      </c>
      <c r="H5" s="3">
        <f>B5*E5</f>
        <v/>
      </c>
    </row>
    <row r="6">
      <c r="A6" s="3">
        <f>'NORMALIZED DECISION MATRIX'!A6</f>
        <v/>
      </c>
      <c r="B6" s="3">
        <f>'NORMALIZED DECISION MATRIX'!J6</f>
        <v/>
      </c>
      <c r="C6" s="3">
        <f>'NORMALIZED DECISION MATRIX'!F6</f>
        <v/>
      </c>
      <c r="D6" s="3">
        <f>'NORMALIZED DECISION MATRIX'!G6</f>
        <v/>
      </c>
      <c r="E6" s="3">
        <f>'NORMALIZED DECISION MATRIX'!H6</f>
        <v/>
      </c>
      <c r="F6" s="3">
        <f>B6*C6</f>
        <v/>
      </c>
      <c r="G6" s="3">
        <f>B6*D6</f>
        <v/>
      </c>
      <c r="H6" s="3">
        <f>B6*E6</f>
        <v/>
      </c>
    </row>
    <row r="7">
      <c r="A7" s="3">
        <f>'NORMALIZED DECISION MATRIX'!A7</f>
        <v/>
      </c>
      <c r="B7" s="3">
        <f>'NORMALIZED DECISION MATRIX'!J7</f>
        <v/>
      </c>
      <c r="C7" s="3">
        <f>'NORMALIZED DECISION MATRIX'!F7</f>
        <v/>
      </c>
      <c r="D7" s="3">
        <f>'NORMALIZED DECISION MATRIX'!G7</f>
        <v/>
      </c>
      <c r="E7" s="3">
        <f>'NORMALIZED DECISION MATRIX'!H7</f>
        <v/>
      </c>
      <c r="F7" s="3">
        <f>B7*C7</f>
        <v/>
      </c>
      <c r="G7" s="3">
        <f>B7*D7</f>
        <v/>
      </c>
      <c r="H7" s="3">
        <f>B7*E7</f>
        <v/>
      </c>
    </row>
    <row r="8">
      <c r="A8" s="3">
        <f>'NORMALIZED DECISION MATRIX'!A8</f>
        <v/>
      </c>
      <c r="B8" s="3">
        <f>'NORMALIZED DECISION MATRIX'!J8</f>
        <v/>
      </c>
      <c r="C8" s="3">
        <f>'NORMALIZED DECISION MATRIX'!F8</f>
        <v/>
      </c>
      <c r="D8" s="3">
        <f>'NORMALIZED DECISION MATRIX'!G8</f>
        <v/>
      </c>
      <c r="E8" s="3">
        <f>'NORMALIZED DECISION MATRIX'!H8</f>
        <v/>
      </c>
      <c r="F8" s="3">
        <f>B8*C8</f>
        <v/>
      </c>
      <c r="G8" s="3">
        <f>B8*D8</f>
        <v/>
      </c>
      <c r="H8" s="3">
        <f>B8*E8</f>
        <v/>
      </c>
    </row>
    <row r="9">
      <c r="A9" s="3">
        <f>'NORMALIZED DECISION MATRIX'!A9</f>
        <v/>
      </c>
      <c r="B9" s="3">
        <f>'NORMALIZED DECISION MATRIX'!J9</f>
        <v/>
      </c>
      <c r="C9" s="3">
        <f>'NORMALIZED DECISION MATRIX'!F9</f>
        <v/>
      </c>
      <c r="D9" s="3">
        <f>'NORMALIZED DECISION MATRIX'!G9</f>
        <v/>
      </c>
      <c r="E9" s="3">
        <f>'NORMALIZED DECISION MATRIX'!H9</f>
        <v/>
      </c>
      <c r="F9" s="3">
        <f>B9*C9</f>
        <v/>
      </c>
      <c r="G9" s="3">
        <f>B9*D9</f>
        <v/>
      </c>
      <c r="H9" s="3">
        <f>B9*E9</f>
        <v/>
      </c>
    </row>
    <row r="10">
      <c r="A10" s="3">
        <f>'NORMALIZED DECISION MATRIX'!A10</f>
        <v/>
      </c>
      <c r="B10" s="3">
        <f>'NORMALIZED DECISION MATRIX'!J10</f>
        <v/>
      </c>
      <c r="C10" s="3">
        <f>'NORMALIZED DECISION MATRIX'!F10</f>
        <v/>
      </c>
      <c r="D10" s="3">
        <f>'NORMALIZED DECISION MATRIX'!G10</f>
        <v/>
      </c>
      <c r="E10" s="3">
        <f>'NORMALIZED DECISION MATRIX'!H10</f>
        <v/>
      </c>
      <c r="F10" s="3">
        <f>B10*C10</f>
        <v/>
      </c>
      <c r="G10" s="3">
        <f>B10*D10</f>
        <v/>
      </c>
      <c r="H10" s="3">
        <f>B10*E10</f>
        <v/>
      </c>
    </row>
    <row r="11">
      <c r="A11" s="3">
        <f>'NORMALIZED DECISION MATRIX'!A11</f>
        <v/>
      </c>
      <c r="B11" s="3">
        <f>'NORMALIZED DECISION MATRIX'!J11</f>
        <v/>
      </c>
      <c r="C11" s="3">
        <f>'NORMALIZED DECISION MATRIX'!F11</f>
        <v/>
      </c>
      <c r="D11" s="3">
        <f>'NORMALIZED DECISION MATRIX'!G11</f>
        <v/>
      </c>
      <c r="E11" s="3">
        <f>'NORMALIZED DECISION MATRIX'!H11</f>
        <v/>
      </c>
      <c r="F11" s="3">
        <f>B11*C11</f>
        <v/>
      </c>
      <c r="G11" s="3">
        <f>B11*D11</f>
        <v/>
      </c>
      <c r="H11" s="3">
        <f>B11*E11</f>
        <v/>
      </c>
    </row>
    <row r="12">
      <c r="A12" s="3">
        <f>'NORMALIZED DECISION MATRIX'!A12</f>
        <v/>
      </c>
      <c r="B12" s="3">
        <f>'NORMALIZED DECISION MATRIX'!J12</f>
        <v/>
      </c>
      <c r="C12" s="3">
        <f>'NORMALIZED DECISION MATRIX'!F12</f>
        <v/>
      </c>
      <c r="D12" s="3">
        <f>'NORMALIZED DECISION MATRIX'!G12</f>
        <v/>
      </c>
      <c r="E12" s="3">
        <f>'NORMALIZED DECISION MATRIX'!H12</f>
        <v/>
      </c>
      <c r="F12" s="3">
        <f>B12*C12</f>
        <v/>
      </c>
      <c r="G12" s="3">
        <f>B12*D12</f>
        <v/>
      </c>
      <c r="H12" s="3">
        <f>B12*E12</f>
        <v/>
      </c>
    </row>
    <row r="13">
      <c r="A13" s="3">
        <f>'NORMALIZED DECISION MATRIX'!A13</f>
        <v/>
      </c>
      <c r="B13" s="3">
        <f>'NORMALIZED DECISION MATRIX'!J13</f>
        <v/>
      </c>
      <c r="C13" s="3">
        <f>'NORMALIZED DECISION MATRIX'!F13</f>
        <v/>
      </c>
      <c r="D13" s="3">
        <f>'NORMALIZED DECISION MATRIX'!G13</f>
        <v/>
      </c>
      <c r="E13" s="3">
        <f>'NORMALIZED DECISION MATRIX'!H13</f>
        <v/>
      </c>
      <c r="F13" s="3">
        <f>B13*C13</f>
        <v/>
      </c>
      <c r="G13" s="3">
        <f>B13*D13</f>
        <v/>
      </c>
      <c r="H13" s="3">
        <f>B13*E13</f>
        <v/>
      </c>
    </row>
    <row r="14">
      <c r="A14" s="3">
        <f>'NORMALIZED DECISION MATRIX'!A14</f>
        <v/>
      </c>
      <c r="B14" s="3">
        <f>'NORMALIZED DECISION MATRIX'!J14</f>
        <v/>
      </c>
      <c r="C14" s="3">
        <f>'NORMALIZED DECISION MATRIX'!F14</f>
        <v/>
      </c>
      <c r="D14" s="3">
        <f>'NORMALIZED DECISION MATRIX'!G14</f>
        <v/>
      </c>
      <c r="E14" s="3">
        <f>'NORMALIZED DECISION MATRIX'!H14</f>
        <v/>
      </c>
      <c r="F14" s="3">
        <f>B14*C14</f>
        <v/>
      </c>
      <c r="G14" s="3">
        <f>B14*D14</f>
        <v/>
      </c>
      <c r="H14" s="3">
        <f>B14*E14</f>
        <v/>
      </c>
    </row>
    <row r="15">
      <c r="A15" s="3">
        <f>'NORMALIZED DECISION MATRIX'!A15</f>
        <v/>
      </c>
      <c r="B15" s="3">
        <f>'NORMALIZED DECISION MATRIX'!J15</f>
        <v/>
      </c>
      <c r="C15" s="3">
        <f>'NORMALIZED DECISION MATRIX'!F15</f>
        <v/>
      </c>
      <c r="D15" s="3">
        <f>'NORMALIZED DECISION MATRIX'!G15</f>
        <v/>
      </c>
      <c r="E15" s="3">
        <f>'NORMALIZED DECISION MATRIX'!H15</f>
        <v/>
      </c>
      <c r="F15" s="3">
        <f>B15*C15</f>
        <v/>
      </c>
      <c r="G15" s="3">
        <f>B15*D15</f>
        <v/>
      </c>
      <c r="H15" s="3">
        <f>B15*E15</f>
        <v/>
      </c>
    </row>
    <row r="16">
      <c r="A16" s="3">
        <f>'NORMALIZED DECISION MATRIX'!A16</f>
        <v/>
      </c>
      <c r="B16" s="3">
        <f>'NORMALIZED DECISION MATRIX'!J16</f>
        <v/>
      </c>
      <c r="C16" s="3">
        <f>'NORMALIZED DECISION MATRIX'!F16</f>
        <v/>
      </c>
      <c r="D16" s="3">
        <f>'NORMALIZED DECISION MATRIX'!G16</f>
        <v/>
      </c>
      <c r="E16" s="3">
        <f>'NORMALIZED DECISION MATRIX'!H16</f>
        <v/>
      </c>
      <c r="F16" s="3">
        <f>B16*C16</f>
        <v/>
      </c>
      <c r="G16" s="3">
        <f>B16*D16</f>
        <v/>
      </c>
      <c r="H16" s="3">
        <f>B16*E16</f>
        <v/>
      </c>
    </row>
    <row r="17">
      <c r="A17" s="3">
        <f>'NORMALIZED DECISION MATRIX'!A17</f>
        <v/>
      </c>
      <c r="B17" s="3">
        <f>'NORMALIZED DECISION MATRIX'!J17</f>
        <v/>
      </c>
      <c r="C17" s="3">
        <f>'NORMALIZED DECISION MATRIX'!F17</f>
        <v/>
      </c>
      <c r="D17" s="3">
        <f>'NORMALIZED DECISION MATRIX'!G17</f>
        <v/>
      </c>
      <c r="E17" s="3">
        <f>'NORMALIZED DECISION MATRIX'!H17</f>
        <v/>
      </c>
      <c r="F17" s="3">
        <f>B17*C17</f>
        <v/>
      </c>
      <c r="G17" s="3">
        <f>B17*D17</f>
        <v/>
      </c>
      <c r="H17" s="3">
        <f>B17*E17</f>
        <v/>
      </c>
    </row>
    <row r="18">
      <c r="A18" s="3">
        <f>'NORMALIZED DECISION MATRIX'!A18</f>
        <v/>
      </c>
      <c r="B18" s="3">
        <f>'NORMALIZED DECISION MATRIX'!J18</f>
        <v/>
      </c>
      <c r="C18" s="3">
        <f>'NORMALIZED DECISION MATRIX'!F18</f>
        <v/>
      </c>
      <c r="D18" s="3">
        <f>'NORMALIZED DECISION MATRIX'!G18</f>
        <v/>
      </c>
      <c r="E18" s="3">
        <f>'NORMALIZED DECISION MATRIX'!H18</f>
        <v/>
      </c>
      <c r="F18" s="3">
        <f>B18*C18</f>
        <v/>
      </c>
      <c r="G18" s="3">
        <f>B18*D18</f>
        <v/>
      </c>
      <c r="H18" s="3">
        <f>B18*E18</f>
        <v/>
      </c>
    </row>
    <row r="19">
      <c r="A19" s="3">
        <f>'NORMALIZED DECISION MATRIX'!A19</f>
        <v/>
      </c>
      <c r="B19" s="3">
        <f>'NORMALIZED DECISION MATRIX'!J19</f>
        <v/>
      </c>
      <c r="C19" s="3">
        <f>'NORMALIZED DECISION MATRIX'!F19</f>
        <v/>
      </c>
      <c r="D19" s="3">
        <f>'NORMALIZED DECISION MATRIX'!G19</f>
        <v/>
      </c>
      <c r="E19" s="3">
        <f>'NORMALIZED DECISION MATRIX'!H19</f>
        <v/>
      </c>
      <c r="F19" s="3">
        <f>B19*C19</f>
        <v/>
      </c>
      <c r="G19" s="3">
        <f>B19*D19</f>
        <v/>
      </c>
      <c r="H19" s="3">
        <f>B19*E19</f>
        <v/>
      </c>
    </row>
    <row r="20">
      <c r="A20" s="3">
        <f>'NORMALIZED DECISION MATRIX'!A20</f>
        <v/>
      </c>
      <c r="B20" s="3">
        <f>'NORMALIZED DECISION MATRIX'!J20</f>
        <v/>
      </c>
      <c r="C20" s="3">
        <f>'NORMALIZED DECISION MATRIX'!F20</f>
        <v/>
      </c>
      <c r="D20" s="3">
        <f>'NORMALIZED DECISION MATRIX'!G20</f>
        <v/>
      </c>
      <c r="E20" s="3">
        <f>'NORMALIZED DECISION MATRIX'!H20</f>
        <v/>
      </c>
      <c r="F20" s="3">
        <f>B20*C20</f>
        <v/>
      </c>
      <c r="G20" s="3">
        <f>B20*D20</f>
        <v/>
      </c>
      <c r="H20" s="3">
        <f>B20*E20</f>
        <v/>
      </c>
    </row>
    <row r="21">
      <c r="A21" s="3">
        <f>'NORMALIZED DECISION MATRIX'!A21</f>
        <v/>
      </c>
      <c r="B21" s="3">
        <f>'NORMALIZED DECISION MATRIX'!J21</f>
        <v/>
      </c>
      <c r="C21" s="3">
        <f>'NORMALIZED DECISION MATRIX'!F21</f>
        <v/>
      </c>
      <c r="D21" s="3">
        <f>'NORMALIZED DECISION MATRIX'!G21</f>
        <v/>
      </c>
      <c r="E21" s="3">
        <f>'NORMALIZED DECISION MATRIX'!H21</f>
        <v/>
      </c>
      <c r="F21" s="3">
        <f>B21*C21</f>
        <v/>
      </c>
      <c r="G21" s="3">
        <f>B21*D21</f>
        <v/>
      </c>
      <c r="H21" s="3">
        <f>B21*E21</f>
        <v/>
      </c>
    </row>
    <row r="22">
      <c r="A22" s="3">
        <f>'NORMALIZED DECISION MATRIX'!A22</f>
        <v/>
      </c>
      <c r="B22" s="3">
        <f>'NORMALIZED DECISION MATRIX'!J22</f>
        <v/>
      </c>
      <c r="C22" s="3">
        <f>'NORMALIZED DECISION MATRIX'!F22</f>
        <v/>
      </c>
      <c r="D22" s="3">
        <f>'NORMALIZED DECISION MATRIX'!G22</f>
        <v/>
      </c>
      <c r="E22" s="3">
        <f>'NORMALIZED DECISION MATRIX'!H22</f>
        <v/>
      </c>
      <c r="F22" s="3">
        <f>B22*C22</f>
        <v/>
      </c>
      <c r="G22" s="3">
        <f>B22*D22</f>
        <v/>
      </c>
      <c r="H22" s="3">
        <f>B22*E22</f>
        <v/>
      </c>
    </row>
    <row r="23">
      <c r="A23" s="3">
        <f>'NORMALIZED DECISION MATRIX'!A23</f>
        <v/>
      </c>
      <c r="B23" s="3">
        <f>'NORMALIZED DECISION MATRIX'!J23</f>
        <v/>
      </c>
      <c r="C23" s="3">
        <f>'NORMALIZED DECISION MATRIX'!F23</f>
        <v/>
      </c>
      <c r="D23" s="3">
        <f>'NORMALIZED DECISION MATRIX'!G23</f>
        <v/>
      </c>
      <c r="E23" s="3">
        <f>'NORMALIZED DECISION MATRIX'!H23</f>
        <v/>
      </c>
      <c r="F23" s="3">
        <f>B23*C23</f>
        <v/>
      </c>
      <c r="G23" s="3">
        <f>B23*D23</f>
        <v/>
      </c>
      <c r="H23" s="3">
        <f>B23*E23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8" customWidth="1" min="4" max="4"/>
    <col width="18" customWidth="1" min="5" max="5"/>
    <col width="24" customWidth="1" min="6" max="6"/>
    <col width="24" customWidth="1" min="7" max="7"/>
  </cols>
  <sheetData>
    <row r="1">
      <c r="A1" s="2" t="inlineStr">
        <is>
          <t>Criterion</t>
        </is>
      </c>
      <c r="B1" s="2" t="inlineStr">
        <is>
          <t>Type</t>
        </is>
      </c>
      <c r="C1" s="2" t="inlineStr">
        <is>
          <t>WEIGHTED A</t>
        </is>
      </c>
      <c r="D1" s="2" t="inlineStr">
        <is>
          <t>WEIGHTED B</t>
        </is>
      </c>
      <c r="E1" s="2" t="inlineStr">
        <is>
          <t>WEIGHTED C</t>
        </is>
      </c>
      <c r="F1" s="2" t="inlineStr">
        <is>
          <t>POSITIVE IDEAL (A+)</t>
        </is>
      </c>
      <c r="G1" s="2" t="inlineStr">
        <is>
          <t>NEGATIVE IDEAL (A-)</t>
        </is>
      </c>
    </row>
    <row r="2">
      <c r="A2" s="3">
        <f>'WEIGHTED NORMALISED MATRIX'!A2</f>
        <v/>
      </c>
      <c r="B2" s="3">
        <f>'CHATBOT_INPUT'!B2</f>
        <v/>
      </c>
      <c r="C2" s="3">
        <f>'WEIGHTED NORMALISED MATRIX'!F2</f>
        <v/>
      </c>
      <c r="D2" s="3">
        <f>'WEIGHTED NORMALISED MATRIX'!G2</f>
        <v/>
      </c>
      <c r="E2" s="3">
        <f>'WEIGHTED NORMALISED MATRIX'!H2</f>
        <v/>
      </c>
      <c r="F2" s="3">
        <f>IF(B2="cost",MIN(C2:E2),MAX(C2:E2))</f>
        <v/>
      </c>
      <c r="G2" s="3">
        <f>IF(B2="cost",MAX(C2:E2),MIN(C2:E2))</f>
        <v/>
      </c>
    </row>
    <row r="3">
      <c r="A3" s="3">
        <f>'WEIGHTED NORMALISED MATRIX'!A3</f>
        <v/>
      </c>
      <c r="B3" s="3">
        <f>'CHATBOT_INPUT'!B3</f>
        <v/>
      </c>
      <c r="C3" s="3">
        <f>'WEIGHTED NORMALISED MATRIX'!F3</f>
        <v/>
      </c>
      <c r="D3" s="3">
        <f>'WEIGHTED NORMALISED MATRIX'!G3</f>
        <v/>
      </c>
      <c r="E3" s="3">
        <f>'WEIGHTED NORMALISED MATRIX'!H3</f>
        <v/>
      </c>
      <c r="F3" s="3">
        <f>IF(B3="cost",MIN(C3:E3),MAX(C3:E3))</f>
        <v/>
      </c>
      <c r="G3" s="3">
        <f>IF(B3="cost",MAX(C3:E3),MIN(C3:E3))</f>
        <v/>
      </c>
    </row>
    <row r="4">
      <c r="A4" s="3">
        <f>'WEIGHTED NORMALISED MATRIX'!A4</f>
        <v/>
      </c>
      <c r="B4" s="3">
        <f>'CHATBOT_INPUT'!B4</f>
        <v/>
      </c>
      <c r="C4" s="3">
        <f>'WEIGHTED NORMALISED MATRIX'!F4</f>
        <v/>
      </c>
      <c r="D4" s="3">
        <f>'WEIGHTED NORMALISED MATRIX'!G4</f>
        <v/>
      </c>
      <c r="E4" s="3">
        <f>'WEIGHTED NORMALISED MATRIX'!H4</f>
        <v/>
      </c>
      <c r="F4" s="3">
        <f>IF(B4="cost",MIN(C4:E4),MAX(C4:E4))</f>
        <v/>
      </c>
      <c r="G4" s="3">
        <f>IF(B4="cost",MAX(C4:E4),MIN(C4:E4))</f>
        <v/>
      </c>
    </row>
    <row r="5">
      <c r="A5" s="3">
        <f>'WEIGHTED NORMALISED MATRIX'!A5</f>
        <v/>
      </c>
      <c r="B5" s="3">
        <f>'CHATBOT_INPUT'!B5</f>
        <v/>
      </c>
      <c r="C5" s="3">
        <f>'WEIGHTED NORMALISED MATRIX'!F5</f>
        <v/>
      </c>
      <c r="D5" s="3">
        <f>'WEIGHTED NORMALISED MATRIX'!G5</f>
        <v/>
      </c>
      <c r="E5" s="3">
        <f>'WEIGHTED NORMALISED MATRIX'!H5</f>
        <v/>
      </c>
      <c r="F5" s="3">
        <f>IF(B5="cost",MIN(C5:E5),MAX(C5:E5))</f>
        <v/>
      </c>
      <c r="G5" s="3">
        <f>IF(B5="cost",MAX(C5:E5),MIN(C5:E5))</f>
        <v/>
      </c>
    </row>
    <row r="6">
      <c r="A6" s="3">
        <f>'WEIGHTED NORMALISED MATRIX'!A6</f>
        <v/>
      </c>
      <c r="B6" s="3">
        <f>'CHATBOT_INPUT'!B6</f>
        <v/>
      </c>
      <c r="C6" s="3">
        <f>'WEIGHTED NORMALISED MATRIX'!F6</f>
        <v/>
      </c>
      <c r="D6" s="3">
        <f>'WEIGHTED NORMALISED MATRIX'!G6</f>
        <v/>
      </c>
      <c r="E6" s="3">
        <f>'WEIGHTED NORMALISED MATRIX'!H6</f>
        <v/>
      </c>
      <c r="F6" s="3">
        <f>IF(B6="cost",MIN(C6:E6),MAX(C6:E6))</f>
        <v/>
      </c>
      <c r="G6" s="3">
        <f>IF(B6="cost",MAX(C6:E6),MIN(C6:E6))</f>
        <v/>
      </c>
    </row>
    <row r="7">
      <c r="A7" s="3">
        <f>'WEIGHTED NORMALISED MATRIX'!A7</f>
        <v/>
      </c>
      <c r="B7" s="3">
        <f>'CHATBOT_INPUT'!B7</f>
        <v/>
      </c>
      <c r="C7" s="3">
        <f>'WEIGHTED NORMALISED MATRIX'!F7</f>
        <v/>
      </c>
      <c r="D7" s="3">
        <f>'WEIGHTED NORMALISED MATRIX'!G7</f>
        <v/>
      </c>
      <c r="E7" s="3">
        <f>'WEIGHTED NORMALISED MATRIX'!H7</f>
        <v/>
      </c>
      <c r="F7" s="3">
        <f>IF(B7="cost",MIN(C7:E7),MAX(C7:E7))</f>
        <v/>
      </c>
      <c r="G7" s="3">
        <f>IF(B7="cost",MAX(C7:E7),MIN(C7:E7))</f>
        <v/>
      </c>
    </row>
    <row r="8">
      <c r="A8" s="3">
        <f>'WEIGHTED NORMALISED MATRIX'!A8</f>
        <v/>
      </c>
      <c r="B8" s="3">
        <f>'CHATBOT_INPUT'!B8</f>
        <v/>
      </c>
      <c r="C8" s="3">
        <f>'WEIGHTED NORMALISED MATRIX'!F8</f>
        <v/>
      </c>
      <c r="D8" s="3">
        <f>'WEIGHTED NORMALISED MATRIX'!G8</f>
        <v/>
      </c>
      <c r="E8" s="3">
        <f>'WEIGHTED NORMALISED MATRIX'!H8</f>
        <v/>
      </c>
      <c r="F8" s="3">
        <f>IF(B8="cost",MIN(C8:E8),MAX(C8:E8))</f>
        <v/>
      </c>
      <c r="G8" s="3">
        <f>IF(B8="cost",MAX(C8:E8),MIN(C8:E8))</f>
        <v/>
      </c>
    </row>
    <row r="9">
      <c r="A9" s="3">
        <f>'WEIGHTED NORMALISED MATRIX'!A9</f>
        <v/>
      </c>
      <c r="B9" s="3">
        <f>'CHATBOT_INPUT'!B9</f>
        <v/>
      </c>
      <c r="C9" s="3">
        <f>'WEIGHTED NORMALISED MATRIX'!F9</f>
        <v/>
      </c>
      <c r="D9" s="3">
        <f>'WEIGHTED NORMALISED MATRIX'!G9</f>
        <v/>
      </c>
      <c r="E9" s="3">
        <f>'WEIGHTED NORMALISED MATRIX'!H9</f>
        <v/>
      </c>
      <c r="F9" s="3">
        <f>IF(B9="cost",MIN(C9:E9),MAX(C9:E9))</f>
        <v/>
      </c>
      <c r="G9" s="3">
        <f>IF(B9="cost",MAX(C9:E9),MIN(C9:E9))</f>
        <v/>
      </c>
    </row>
    <row r="10">
      <c r="A10" s="3">
        <f>'WEIGHTED NORMALISED MATRIX'!A10</f>
        <v/>
      </c>
      <c r="B10" s="3">
        <f>'CHATBOT_INPUT'!B10</f>
        <v/>
      </c>
      <c r="C10" s="3">
        <f>'WEIGHTED NORMALISED MATRIX'!F10</f>
        <v/>
      </c>
      <c r="D10" s="3">
        <f>'WEIGHTED NORMALISED MATRIX'!G10</f>
        <v/>
      </c>
      <c r="E10" s="3">
        <f>'WEIGHTED NORMALISED MATRIX'!H10</f>
        <v/>
      </c>
      <c r="F10" s="3">
        <f>IF(B10="cost",MIN(C10:E10),MAX(C10:E10))</f>
        <v/>
      </c>
      <c r="G10" s="3">
        <f>IF(B10="cost",MAX(C10:E10),MIN(C10:E10))</f>
        <v/>
      </c>
    </row>
    <row r="11">
      <c r="A11" s="3">
        <f>'WEIGHTED NORMALISED MATRIX'!A11</f>
        <v/>
      </c>
      <c r="B11" s="3">
        <f>'CHATBOT_INPUT'!B11</f>
        <v/>
      </c>
      <c r="C11" s="3">
        <f>'WEIGHTED NORMALISED MATRIX'!F11</f>
        <v/>
      </c>
      <c r="D11" s="3">
        <f>'WEIGHTED NORMALISED MATRIX'!G11</f>
        <v/>
      </c>
      <c r="E11" s="3">
        <f>'WEIGHTED NORMALISED MATRIX'!H11</f>
        <v/>
      </c>
      <c r="F11" s="3">
        <f>IF(B11="cost",MIN(C11:E11),MAX(C11:E11))</f>
        <v/>
      </c>
      <c r="G11" s="3">
        <f>IF(B11="cost",MAX(C11:E11),MIN(C11:E11))</f>
        <v/>
      </c>
    </row>
    <row r="12">
      <c r="A12" s="3">
        <f>'WEIGHTED NORMALISED MATRIX'!A12</f>
        <v/>
      </c>
      <c r="B12" s="3">
        <f>'CHATBOT_INPUT'!B12</f>
        <v/>
      </c>
      <c r="C12" s="3">
        <f>'WEIGHTED NORMALISED MATRIX'!F12</f>
        <v/>
      </c>
      <c r="D12" s="3">
        <f>'WEIGHTED NORMALISED MATRIX'!G12</f>
        <v/>
      </c>
      <c r="E12" s="3">
        <f>'WEIGHTED NORMALISED MATRIX'!H12</f>
        <v/>
      </c>
      <c r="F12" s="3">
        <f>IF(B12="cost",MIN(C12:E12),MAX(C12:E12))</f>
        <v/>
      </c>
      <c r="G12" s="3">
        <f>IF(B12="cost",MAX(C12:E12),MIN(C12:E12))</f>
        <v/>
      </c>
    </row>
    <row r="13">
      <c r="A13" s="3">
        <f>'WEIGHTED NORMALISED MATRIX'!A13</f>
        <v/>
      </c>
      <c r="B13" s="3">
        <f>'CHATBOT_INPUT'!B13</f>
        <v/>
      </c>
      <c r="C13" s="3">
        <f>'WEIGHTED NORMALISED MATRIX'!F13</f>
        <v/>
      </c>
      <c r="D13" s="3">
        <f>'WEIGHTED NORMALISED MATRIX'!G13</f>
        <v/>
      </c>
      <c r="E13" s="3">
        <f>'WEIGHTED NORMALISED MATRIX'!H13</f>
        <v/>
      </c>
      <c r="F13" s="3">
        <f>IF(B13="cost",MIN(C13:E13),MAX(C13:E13))</f>
        <v/>
      </c>
      <c r="G13" s="3">
        <f>IF(B13="cost",MAX(C13:E13),MIN(C13:E13))</f>
        <v/>
      </c>
    </row>
    <row r="14">
      <c r="A14" s="3">
        <f>'WEIGHTED NORMALISED MATRIX'!A14</f>
        <v/>
      </c>
      <c r="B14" s="3">
        <f>'CHATBOT_INPUT'!B14</f>
        <v/>
      </c>
      <c r="C14" s="3">
        <f>'WEIGHTED NORMALISED MATRIX'!F14</f>
        <v/>
      </c>
      <c r="D14" s="3">
        <f>'WEIGHTED NORMALISED MATRIX'!G14</f>
        <v/>
      </c>
      <c r="E14" s="3">
        <f>'WEIGHTED NORMALISED MATRIX'!H14</f>
        <v/>
      </c>
      <c r="F14" s="3">
        <f>IF(B14="cost",MIN(C14:E14),MAX(C14:E14))</f>
        <v/>
      </c>
      <c r="G14" s="3">
        <f>IF(B14="cost",MAX(C14:E14),MIN(C14:E14))</f>
        <v/>
      </c>
    </row>
    <row r="15">
      <c r="A15" s="3">
        <f>'WEIGHTED NORMALISED MATRIX'!A15</f>
        <v/>
      </c>
      <c r="B15" s="3">
        <f>'CHATBOT_INPUT'!B15</f>
        <v/>
      </c>
      <c r="C15" s="3">
        <f>'WEIGHTED NORMALISED MATRIX'!F15</f>
        <v/>
      </c>
      <c r="D15" s="3">
        <f>'WEIGHTED NORMALISED MATRIX'!G15</f>
        <v/>
      </c>
      <c r="E15" s="3">
        <f>'WEIGHTED NORMALISED MATRIX'!H15</f>
        <v/>
      </c>
      <c r="F15" s="3">
        <f>IF(B15="cost",MIN(C15:E15),MAX(C15:E15))</f>
        <v/>
      </c>
      <c r="G15" s="3">
        <f>IF(B15="cost",MAX(C15:E15),MIN(C15:E15))</f>
        <v/>
      </c>
    </row>
    <row r="16">
      <c r="A16" s="3">
        <f>'WEIGHTED NORMALISED MATRIX'!A16</f>
        <v/>
      </c>
      <c r="B16" s="3">
        <f>'CHATBOT_INPUT'!B16</f>
        <v/>
      </c>
      <c r="C16" s="3">
        <f>'WEIGHTED NORMALISED MATRIX'!F16</f>
        <v/>
      </c>
      <c r="D16" s="3">
        <f>'WEIGHTED NORMALISED MATRIX'!G16</f>
        <v/>
      </c>
      <c r="E16" s="3">
        <f>'WEIGHTED NORMALISED MATRIX'!H16</f>
        <v/>
      </c>
      <c r="F16" s="3">
        <f>IF(B16="cost",MIN(C16:E16),MAX(C16:E16))</f>
        <v/>
      </c>
      <c r="G16" s="3">
        <f>IF(B16="cost",MAX(C16:E16),MIN(C16:E16))</f>
        <v/>
      </c>
    </row>
    <row r="17">
      <c r="A17" s="3">
        <f>'WEIGHTED NORMALISED MATRIX'!A17</f>
        <v/>
      </c>
      <c r="B17" s="3">
        <f>'CHATBOT_INPUT'!B17</f>
        <v/>
      </c>
      <c r="C17" s="3">
        <f>'WEIGHTED NORMALISED MATRIX'!F17</f>
        <v/>
      </c>
      <c r="D17" s="3">
        <f>'WEIGHTED NORMALISED MATRIX'!G17</f>
        <v/>
      </c>
      <c r="E17" s="3">
        <f>'WEIGHTED NORMALISED MATRIX'!H17</f>
        <v/>
      </c>
      <c r="F17" s="3">
        <f>IF(B17="cost",MIN(C17:E17),MAX(C17:E17))</f>
        <v/>
      </c>
      <c r="G17" s="3">
        <f>IF(B17="cost",MAX(C17:E17),MIN(C17:E17))</f>
        <v/>
      </c>
    </row>
    <row r="18">
      <c r="A18" s="3">
        <f>'WEIGHTED NORMALISED MATRIX'!A18</f>
        <v/>
      </c>
      <c r="B18" s="3">
        <f>'CHATBOT_INPUT'!B18</f>
        <v/>
      </c>
      <c r="C18" s="3">
        <f>'WEIGHTED NORMALISED MATRIX'!F18</f>
        <v/>
      </c>
      <c r="D18" s="3">
        <f>'WEIGHTED NORMALISED MATRIX'!G18</f>
        <v/>
      </c>
      <c r="E18" s="3">
        <f>'WEIGHTED NORMALISED MATRIX'!H18</f>
        <v/>
      </c>
      <c r="F18" s="3">
        <f>IF(B18="cost",MIN(C18:E18),MAX(C18:E18))</f>
        <v/>
      </c>
      <c r="G18" s="3">
        <f>IF(B18="cost",MAX(C18:E18),MIN(C18:E18))</f>
        <v/>
      </c>
    </row>
    <row r="19">
      <c r="A19" s="3">
        <f>'WEIGHTED NORMALISED MATRIX'!A19</f>
        <v/>
      </c>
      <c r="B19" s="3">
        <f>'CHATBOT_INPUT'!B19</f>
        <v/>
      </c>
      <c r="C19" s="3">
        <f>'WEIGHTED NORMALISED MATRIX'!F19</f>
        <v/>
      </c>
      <c r="D19" s="3">
        <f>'WEIGHTED NORMALISED MATRIX'!G19</f>
        <v/>
      </c>
      <c r="E19" s="3">
        <f>'WEIGHTED NORMALISED MATRIX'!H19</f>
        <v/>
      </c>
      <c r="F19" s="3">
        <f>IF(B19="cost",MIN(C19:E19),MAX(C19:E19))</f>
        <v/>
      </c>
      <c r="G19" s="3">
        <f>IF(B19="cost",MAX(C19:E19),MIN(C19:E19))</f>
        <v/>
      </c>
    </row>
    <row r="20">
      <c r="A20" s="3">
        <f>'WEIGHTED NORMALISED MATRIX'!A20</f>
        <v/>
      </c>
      <c r="B20" s="3">
        <f>'CHATBOT_INPUT'!B20</f>
        <v/>
      </c>
      <c r="C20" s="3">
        <f>'WEIGHTED NORMALISED MATRIX'!F20</f>
        <v/>
      </c>
      <c r="D20" s="3">
        <f>'WEIGHTED NORMALISED MATRIX'!G20</f>
        <v/>
      </c>
      <c r="E20" s="3">
        <f>'WEIGHTED NORMALISED MATRIX'!H20</f>
        <v/>
      </c>
      <c r="F20" s="3">
        <f>IF(B20="cost",MIN(C20:E20),MAX(C20:E20))</f>
        <v/>
      </c>
      <c r="G20" s="3">
        <f>IF(B20="cost",MAX(C20:E20),MIN(C20:E20))</f>
        <v/>
      </c>
    </row>
    <row r="21">
      <c r="A21" s="3">
        <f>'WEIGHTED NORMALISED MATRIX'!A21</f>
        <v/>
      </c>
      <c r="B21" s="3">
        <f>'CHATBOT_INPUT'!B21</f>
        <v/>
      </c>
      <c r="C21" s="3">
        <f>'WEIGHTED NORMALISED MATRIX'!F21</f>
        <v/>
      </c>
      <c r="D21" s="3">
        <f>'WEIGHTED NORMALISED MATRIX'!G21</f>
        <v/>
      </c>
      <c r="E21" s="3">
        <f>'WEIGHTED NORMALISED MATRIX'!H21</f>
        <v/>
      </c>
      <c r="F21" s="3">
        <f>IF(B21="cost",MIN(C21:E21),MAX(C21:E21))</f>
        <v/>
      </c>
      <c r="G21" s="3">
        <f>IF(B21="cost",MAX(C21:E21),MIN(C21:E21))</f>
        <v/>
      </c>
    </row>
    <row r="22">
      <c r="A22" s="3">
        <f>'WEIGHTED NORMALISED MATRIX'!A22</f>
        <v/>
      </c>
      <c r="B22" s="3">
        <f>'CHATBOT_INPUT'!B22</f>
        <v/>
      </c>
      <c r="C22" s="3">
        <f>'WEIGHTED NORMALISED MATRIX'!F22</f>
        <v/>
      </c>
      <c r="D22" s="3">
        <f>'WEIGHTED NORMALISED MATRIX'!G22</f>
        <v/>
      </c>
      <c r="E22" s="3">
        <f>'WEIGHTED NORMALISED MATRIX'!H22</f>
        <v/>
      </c>
      <c r="F22" s="3">
        <f>IF(B22="cost",MIN(C22:E22),MAX(C22:E22))</f>
        <v/>
      </c>
      <c r="G22" s="3">
        <f>IF(B22="cost",MAX(C22:E22),MIN(C22:E22))</f>
        <v/>
      </c>
    </row>
    <row r="23">
      <c r="A23" s="3">
        <f>'WEIGHTED NORMALISED MATRIX'!A23</f>
        <v/>
      </c>
      <c r="B23" s="3">
        <f>'CHATBOT_INPUT'!B23</f>
        <v/>
      </c>
      <c r="C23" s="3">
        <f>'WEIGHTED NORMALISED MATRIX'!F23</f>
        <v/>
      </c>
      <c r="D23" s="3">
        <f>'WEIGHTED NORMALISED MATRIX'!G23</f>
        <v/>
      </c>
      <c r="E23" s="3">
        <f>'WEIGHTED NORMALISED MATRIX'!H23</f>
        <v/>
      </c>
      <c r="F23" s="3">
        <f>IF(B23="cost",MIN(C23:E23),MAX(C23:E23))</f>
        <v/>
      </c>
      <c r="G23" s="3">
        <f>IF(B23="cost",MAX(C23:E23),MIN(C23:E23))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4" customWidth="1" min="4" max="4"/>
    <col width="12" customWidth="1" min="5" max="5"/>
  </cols>
  <sheetData>
    <row r="1">
      <c r="A1" s="2" t="inlineStr">
        <is>
          <t>Criterion</t>
        </is>
      </c>
      <c r="B1" s="2" t="inlineStr">
        <is>
          <t>WEIGHTED A</t>
        </is>
      </c>
      <c r="C1" s="2" t="inlineStr">
        <is>
          <t>WEIGHTED B</t>
        </is>
      </c>
      <c r="D1" s="2" t="inlineStr">
        <is>
          <t>WEIGHTED C</t>
        </is>
      </c>
      <c r="E1" s="2" t="inlineStr">
        <is>
          <t>POSITIVE IDEAL (A+)</t>
        </is>
      </c>
      <c r="F1" s="2" t="inlineStr">
        <is>
          <t>NEGATIVE IDEAL (A-)</t>
        </is>
      </c>
      <c r="G1" s="2" t="inlineStr">
        <is>
          <t>(A-A+)²</t>
        </is>
      </c>
      <c r="H1" s="2" t="inlineStr">
        <is>
          <t>(B-A+)²</t>
        </is>
      </c>
      <c r="I1" s="2" t="inlineStr">
        <is>
          <t>(C-A+)²</t>
        </is>
      </c>
      <c r="J1" s="2" t="inlineStr">
        <is>
          <t>(A-A-)²</t>
        </is>
      </c>
      <c r="K1" s="2" t="inlineStr">
        <is>
          <t>(B-A-)²</t>
        </is>
      </c>
      <c r="L1" s="2" t="inlineStr">
        <is>
          <t>(C-A-)²</t>
        </is>
      </c>
    </row>
    <row r="2">
      <c r="A2" s="3">
        <f>'IDEAL SOLUTION'!A2</f>
        <v/>
      </c>
      <c r="B2" s="3">
        <f>'IDEAL SOLUTION'!C2</f>
        <v/>
      </c>
      <c r="C2" s="3">
        <f>'IDEAL SOLUTION'!D2</f>
        <v/>
      </c>
      <c r="D2" s="3">
        <f>'IDEAL SOLUTION'!E2</f>
        <v/>
      </c>
      <c r="E2" s="3">
        <f>'IDEAL SOLUTION'!F2</f>
        <v/>
      </c>
      <c r="F2" s="3">
        <f>'IDEAL SOLUTION'!G2</f>
        <v/>
      </c>
      <c r="G2" s="3">
        <f>(B2-E2)^2</f>
        <v/>
      </c>
      <c r="H2" s="3">
        <f>(C2-E2)^2</f>
        <v/>
      </c>
      <c r="I2" s="3">
        <f>(D2-E2)^2</f>
        <v/>
      </c>
      <c r="J2" s="3">
        <f>(B2-F2)^2</f>
        <v/>
      </c>
      <c r="K2" s="3">
        <f>(C2-F2)^2</f>
        <v/>
      </c>
      <c r="L2" s="3">
        <f>(D2-F2)^2</f>
        <v/>
      </c>
    </row>
    <row r="3">
      <c r="A3" s="3">
        <f>'IDEAL SOLUTION'!A3</f>
        <v/>
      </c>
      <c r="B3" s="3">
        <f>'IDEAL SOLUTION'!C3</f>
        <v/>
      </c>
      <c r="C3" s="3">
        <f>'IDEAL SOLUTION'!D3</f>
        <v/>
      </c>
      <c r="D3" s="3">
        <f>'IDEAL SOLUTION'!E3</f>
        <v/>
      </c>
      <c r="E3" s="3">
        <f>'IDEAL SOLUTION'!F3</f>
        <v/>
      </c>
      <c r="F3" s="3">
        <f>'IDEAL SOLUTION'!G3</f>
        <v/>
      </c>
      <c r="G3" s="3">
        <f>(B3-E3)^2</f>
        <v/>
      </c>
      <c r="H3" s="3">
        <f>(C3-E3)^2</f>
        <v/>
      </c>
      <c r="I3" s="3">
        <f>(D3-E3)^2</f>
        <v/>
      </c>
      <c r="J3" s="3">
        <f>(B3-F3)^2</f>
        <v/>
      </c>
      <c r="K3" s="3">
        <f>(C3-F3)^2</f>
        <v/>
      </c>
      <c r="L3" s="3">
        <f>(D3-F3)^2</f>
        <v/>
      </c>
    </row>
    <row r="4">
      <c r="A4" s="3">
        <f>'IDEAL SOLUTION'!A4</f>
        <v/>
      </c>
      <c r="B4" s="3">
        <f>'IDEAL SOLUTION'!C4</f>
        <v/>
      </c>
      <c r="C4" s="3">
        <f>'IDEAL SOLUTION'!D4</f>
        <v/>
      </c>
      <c r="D4" s="3">
        <f>'IDEAL SOLUTION'!E4</f>
        <v/>
      </c>
      <c r="E4" s="3">
        <f>'IDEAL SOLUTION'!F4</f>
        <v/>
      </c>
      <c r="F4" s="3">
        <f>'IDEAL SOLUTION'!G4</f>
        <v/>
      </c>
      <c r="G4" s="3">
        <f>(B4-E4)^2</f>
        <v/>
      </c>
      <c r="H4" s="3">
        <f>(C4-E4)^2</f>
        <v/>
      </c>
      <c r="I4" s="3">
        <f>(D4-E4)^2</f>
        <v/>
      </c>
      <c r="J4" s="3">
        <f>(B4-F4)^2</f>
        <v/>
      </c>
      <c r="K4" s="3">
        <f>(C4-F4)^2</f>
        <v/>
      </c>
      <c r="L4" s="3">
        <f>(D4-F4)^2</f>
        <v/>
      </c>
    </row>
    <row r="5">
      <c r="A5" s="3">
        <f>'IDEAL SOLUTION'!A5</f>
        <v/>
      </c>
      <c r="B5" s="3">
        <f>'IDEAL SOLUTION'!C5</f>
        <v/>
      </c>
      <c r="C5" s="3">
        <f>'IDEAL SOLUTION'!D5</f>
        <v/>
      </c>
      <c r="D5" s="3">
        <f>'IDEAL SOLUTION'!E5</f>
        <v/>
      </c>
      <c r="E5" s="3">
        <f>'IDEAL SOLUTION'!F5</f>
        <v/>
      </c>
      <c r="F5" s="3">
        <f>'IDEAL SOLUTION'!G5</f>
        <v/>
      </c>
      <c r="G5" s="3">
        <f>(B5-E5)^2</f>
        <v/>
      </c>
      <c r="H5" s="3">
        <f>(C5-E5)^2</f>
        <v/>
      </c>
      <c r="I5" s="3">
        <f>(D5-E5)^2</f>
        <v/>
      </c>
      <c r="J5" s="3">
        <f>(B5-F5)^2</f>
        <v/>
      </c>
      <c r="K5" s="3">
        <f>(C5-F5)^2</f>
        <v/>
      </c>
      <c r="L5" s="3">
        <f>(D5-F5)^2</f>
        <v/>
      </c>
    </row>
    <row r="6">
      <c r="A6" s="3">
        <f>'IDEAL SOLUTION'!A6</f>
        <v/>
      </c>
      <c r="B6" s="3">
        <f>'IDEAL SOLUTION'!C6</f>
        <v/>
      </c>
      <c r="C6" s="3">
        <f>'IDEAL SOLUTION'!D6</f>
        <v/>
      </c>
      <c r="D6" s="3">
        <f>'IDEAL SOLUTION'!E6</f>
        <v/>
      </c>
      <c r="E6" s="3">
        <f>'IDEAL SOLUTION'!F6</f>
        <v/>
      </c>
      <c r="F6" s="3">
        <f>'IDEAL SOLUTION'!G6</f>
        <v/>
      </c>
      <c r="G6" s="3">
        <f>(B6-E6)^2</f>
        <v/>
      </c>
      <c r="H6" s="3">
        <f>(C6-E6)^2</f>
        <v/>
      </c>
      <c r="I6" s="3">
        <f>(D6-E6)^2</f>
        <v/>
      </c>
      <c r="J6" s="3">
        <f>(B6-F6)^2</f>
        <v/>
      </c>
      <c r="K6" s="3">
        <f>(C6-F6)^2</f>
        <v/>
      </c>
      <c r="L6" s="3">
        <f>(D6-F6)^2</f>
        <v/>
      </c>
    </row>
    <row r="7">
      <c r="A7" s="3">
        <f>'IDEAL SOLUTION'!A7</f>
        <v/>
      </c>
      <c r="B7" s="3">
        <f>'IDEAL SOLUTION'!C7</f>
        <v/>
      </c>
      <c r="C7" s="3">
        <f>'IDEAL SOLUTION'!D7</f>
        <v/>
      </c>
      <c r="D7" s="3">
        <f>'IDEAL SOLUTION'!E7</f>
        <v/>
      </c>
      <c r="E7" s="3">
        <f>'IDEAL SOLUTION'!F7</f>
        <v/>
      </c>
      <c r="F7" s="3">
        <f>'IDEAL SOLUTION'!G7</f>
        <v/>
      </c>
      <c r="G7" s="3">
        <f>(B7-E7)^2</f>
        <v/>
      </c>
      <c r="H7" s="3">
        <f>(C7-E7)^2</f>
        <v/>
      </c>
      <c r="I7" s="3">
        <f>(D7-E7)^2</f>
        <v/>
      </c>
      <c r="J7" s="3">
        <f>(B7-F7)^2</f>
        <v/>
      </c>
      <c r="K7" s="3">
        <f>(C7-F7)^2</f>
        <v/>
      </c>
      <c r="L7" s="3">
        <f>(D7-F7)^2</f>
        <v/>
      </c>
    </row>
    <row r="8">
      <c r="A8" s="3">
        <f>'IDEAL SOLUTION'!A8</f>
        <v/>
      </c>
      <c r="B8" s="3">
        <f>'IDEAL SOLUTION'!C8</f>
        <v/>
      </c>
      <c r="C8" s="3">
        <f>'IDEAL SOLUTION'!D8</f>
        <v/>
      </c>
      <c r="D8" s="3">
        <f>'IDEAL SOLUTION'!E8</f>
        <v/>
      </c>
      <c r="E8" s="3">
        <f>'IDEAL SOLUTION'!F8</f>
        <v/>
      </c>
      <c r="F8" s="3">
        <f>'IDEAL SOLUTION'!G8</f>
        <v/>
      </c>
      <c r="G8" s="3">
        <f>(B8-E8)^2</f>
        <v/>
      </c>
      <c r="H8" s="3">
        <f>(C8-E8)^2</f>
        <v/>
      </c>
      <c r="I8" s="3">
        <f>(D8-E8)^2</f>
        <v/>
      </c>
      <c r="J8" s="3">
        <f>(B8-F8)^2</f>
        <v/>
      </c>
      <c r="K8" s="3">
        <f>(C8-F8)^2</f>
        <v/>
      </c>
      <c r="L8" s="3">
        <f>(D8-F8)^2</f>
        <v/>
      </c>
    </row>
    <row r="9">
      <c r="A9" s="3">
        <f>'IDEAL SOLUTION'!A9</f>
        <v/>
      </c>
      <c r="B9" s="3">
        <f>'IDEAL SOLUTION'!C9</f>
        <v/>
      </c>
      <c r="C9" s="3">
        <f>'IDEAL SOLUTION'!D9</f>
        <v/>
      </c>
      <c r="D9" s="3">
        <f>'IDEAL SOLUTION'!E9</f>
        <v/>
      </c>
      <c r="E9" s="3">
        <f>'IDEAL SOLUTION'!F9</f>
        <v/>
      </c>
      <c r="F9" s="3">
        <f>'IDEAL SOLUTION'!G9</f>
        <v/>
      </c>
      <c r="G9" s="3">
        <f>(B9-E9)^2</f>
        <v/>
      </c>
      <c r="H9" s="3">
        <f>(C9-E9)^2</f>
        <v/>
      </c>
      <c r="I9" s="3">
        <f>(D9-E9)^2</f>
        <v/>
      </c>
      <c r="J9" s="3">
        <f>(B9-F9)^2</f>
        <v/>
      </c>
      <c r="K9" s="3">
        <f>(C9-F9)^2</f>
        <v/>
      </c>
      <c r="L9" s="3">
        <f>(D9-F9)^2</f>
        <v/>
      </c>
    </row>
    <row r="10">
      <c r="A10" s="3">
        <f>'IDEAL SOLUTION'!A10</f>
        <v/>
      </c>
      <c r="B10" s="3">
        <f>'IDEAL SOLUTION'!C10</f>
        <v/>
      </c>
      <c r="C10" s="3">
        <f>'IDEAL SOLUTION'!D10</f>
        <v/>
      </c>
      <c r="D10" s="3">
        <f>'IDEAL SOLUTION'!E10</f>
        <v/>
      </c>
      <c r="E10" s="3">
        <f>'IDEAL SOLUTION'!F10</f>
        <v/>
      </c>
      <c r="F10" s="3">
        <f>'IDEAL SOLUTION'!G10</f>
        <v/>
      </c>
      <c r="G10" s="3">
        <f>(B10-E10)^2</f>
        <v/>
      </c>
      <c r="H10" s="3">
        <f>(C10-E10)^2</f>
        <v/>
      </c>
      <c r="I10" s="3">
        <f>(D10-E10)^2</f>
        <v/>
      </c>
      <c r="J10" s="3">
        <f>(B10-F10)^2</f>
        <v/>
      </c>
      <c r="K10" s="3">
        <f>(C10-F10)^2</f>
        <v/>
      </c>
      <c r="L10" s="3">
        <f>(D10-F10)^2</f>
        <v/>
      </c>
    </row>
    <row r="11">
      <c r="A11" s="3">
        <f>'IDEAL SOLUTION'!A11</f>
        <v/>
      </c>
      <c r="B11" s="3">
        <f>'IDEAL SOLUTION'!C11</f>
        <v/>
      </c>
      <c r="C11" s="3">
        <f>'IDEAL SOLUTION'!D11</f>
        <v/>
      </c>
      <c r="D11" s="3">
        <f>'IDEAL SOLUTION'!E11</f>
        <v/>
      </c>
      <c r="E11" s="3">
        <f>'IDEAL SOLUTION'!F11</f>
        <v/>
      </c>
      <c r="F11" s="3">
        <f>'IDEAL SOLUTION'!G11</f>
        <v/>
      </c>
      <c r="G11" s="3">
        <f>(B11-E11)^2</f>
        <v/>
      </c>
      <c r="H11" s="3">
        <f>(C11-E11)^2</f>
        <v/>
      </c>
      <c r="I11" s="3">
        <f>(D11-E11)^2</f>
        <v/>
      </c>
      <c r="J11" s="3">
        <f>(B11-F11)^2</f>
        <v/>
      </c>
      <c r="K11" s="3">
        <f>(C11-F11)^2</f>
        <v/>
      </c>
      <c r="L11" s="3">
        <f>(D11-F11)^2</f>
        <v/>
      </c>
    </row>
    <row r="12">
      <c r="A12" s="3">
        <f>'IDEAL SOLUTION'!A12</f>
        <v/>
      </c>
      <c r="B12" s="3">
        <f>'IDEAL SOLUTION'!C12</f>
        <v/>
      </c>
      <c r="C12" s="3">
        <f>'IDEAL SOLUTION'!D12</f>
        <v/>
      </c>
      <c r="D12" s="3">
        <f>'IDEAL SOLUTION'!E12</f>
        <v/>
      </c>
      <c r="E12" s="3">
        <f>'IDEAL SOLUTION'!F12</f>
        <v/>
      </c>
      <c r="F12" s="3">
        <f>'IDEAL SOLUTION'!G12</f>
        <v/>
      </c>
      <c r="G12" s="3">
        <f>(B12-E12)^2</f>
        <v/>
      </c>
      <c r="H12" s="3">
        <f>(C12-E12)^2</f>
        <v/>
      </c>
      <c r="I12" s="3">
        <f>(D12-E12)^2</f>
        <v/>
      </c>
      <c r="J12" s="3">
        <f>(B12-F12)^2</f>
        <v/>
      </c>
      <c r="K12" s="3">
        <f>(C12-F12)^2</f>
        <v/>
      </c>
      <c r="L12" s="3">
        <f>(D12-F12)^2</f>
        <v/>
      </c>
    </row>
    <row r="13">
      <c r="A13" s="3">
        <f>'IDEAL SOLUTION'!A13</f>
        <v/>
      </c>
      <c r="B13" s="3">
        <f>'IDEAL SOLUTION'!C13</f>
        <v/>
      </c>
      <c r="C13" s="3">
        <f>'IDEAL SOLUTION'!D13</f>
        <v/>
      </c>
      <c r="D13" s="3">
        <f>'IDEAL SOLUTION'!E13</f>
        <v/>
      </c>
      <c r="E13" s="3">
        <f>'IDEAL SOLUTION'!F13</f>
        <v/>
      </c>
      <c r="F13" s="3">
        <f>'IDEAL SOLUTION'!G13</f>
        <v/>
      </c>
      <c r="G13" s="3">
        <f>(B13-E13)^2</f>
        <v/>
      </c>
      <c r="H13" s="3">
        <f>(C13-E13)^2</f>
        <v/>
      </c>
      <c r="I13" s="3">
        <f>(D13-E13)^2</f>
        <v/>
      </c>
      <c r="J13" s="3">
        <f>(B13-F13)^2</f>
        <v/>
      </c>
      <c r="K13" s="3">
        <f>(C13-F13)^2</f>
        <v/>
      </c>
      <c r="L13" s="3">
        <f>(D13-F13)^2</f>
        <v/>
      </c>
    </row>
    <row r="14">
      <c r="A14" s="3">
        <f>'IDEAL SOLUTION'!A14</f>
        <v/>
      </c>
      <c r="B14" s="3">
        <f>'IDEAL SOLUTION'!C14</f>
        <v/>
      </c>
      <c r="C14" s="3">
        <f>'IDEAL SOLUTION'!D14</f>
        <v/>
      </c>
      <c r="D14" s="3">
        <f>'IDEAL SOLUTION'!E14</f>
        <v/>
      </c>
      <c r="E14" s="3">
        <f>'IDEAL SOLUTION'!F14</f>
        <v/>
      </c>
      <c r="F14" s="3">
        <f>'IDEAL SOLUTION'!G14</f>
        <v/>
      </c>
      <c r="G14" s="3">
        <f>(B14-E14)^2</f>
        <v/>
      </c>
      <c r="H14" s="3">
        <f>(C14-E14)^2</f>
        <v/>
      </c>
      <c r="I14" s="3">
        <f>(D14-E14)^2</f>
        <v/>
      </c>
      <c r="J14" s="3">
        <f>(B14-F14)^2</f>
        <v/>
      </c>
      <c r="K14" s="3">
        <f>(C14-F14)^2</f>
        <v/>
      </c>
      <c r="L14" s="3">
        <f>(D14-F14)^2</f>
        <v/>
      </c>
    </row>
    <row r="15">
      <c r="A15" s="3">
        <f>'IDEAL SOLUTION'!A15</f>
        <v/>
      </c>
      <c r="B15" s="3">
        <f>'IDEAL SOLUTION'!C15</f>
        <v/>
      </c>
      <c r="C15" s="3">
        <f>'IDEAL SOLUTION'!D15</f>
        <v/>
      </c>
      <c r="D15" s="3">
        <f>'IDEAL SOLUTION'!E15</f>
        <v/>
      </c>
      <c r="E15" s="3">
        <f>'IDEAL SOLUTION'!F15</f>
        <v/>
      </c>
      <c r="F15" s="3">
        <f>'IDEAL SOLUTION'!G15</f>
        <v/>
      </c>
      <c r="G15" s="3">
        <f>(B15-E15)^2</f>
        <v/>
      </c>
      <c r="H15" s="3">
        <f>(C15-E15)^2</f>
        <v/>
      </c>
      <c r="I15" s="3">
        <f>(D15-E15)^2</f>
        <v/>
      </c>
      <c r="J15" s="3">
        <f>(B15-F15)^2</f>
        <v/>
      </c>
      <c r="K15" s="3">
        <f>(C15-F15)^2</f>
        <v/>
      </c>
      <c r="L15" s="3">
        <f>(D15-F15)^2</f>
        <v/>
      </c>
    </row>
    <row r="16">
      <c r="A16" s="3">
        <f>'IDEAL SOLUTION'!A16</f>
        <v/>
      </c>
      <c r="B16" s="3">
        <f>'IDEAL SOLUTION'!C16</f>
        <v/>
      </c>
      <c r="C16" s="3">
        <f>'IDEAL SOLUTION'!D16</f>
        <v/>
      </c>
      <c r="D16" s="3">
        <f>'IDEAL SOLUTION'!E16</f>
        <v/>
      </c>
      <c r="E16" s="3">
        <f>'IDEAL SOLUTION'!F16</f>
        <v/>
      </c>
      <c r="F16" s="3">
        <f>'IDEAL SOLUTION'!G16</f>
        <v/>
      </c>
      <c r="G16" s="3">
        <f>(B16-E16)^2</f>
        <v/>
      </c>
      <c r="H16" s="3">
        <f>(C16-E16)^2</f>
        <v/>
      </c>
      <c r="I16" s="3">
        <f>(D16-E16)^2</f>
        <v/>
      </c>
      <c r="J16" s="3">
        <f>(B16-F16)^2</f>
        <v/>
      </c>
      <c r="K16" s="3">
        <f>(C16-F16)^2</f>
        <v/>
      </c>
      <c r="L16" s="3">
        <f>(D16-F16)^2</f>
        <v/>
      </c>
    </row>
    <row r="17">
      <c r="A17" s="3">
        <f>'IDEAL SOLUTION'!A17</f>
        <v/>
      </c>
      <c r="B17" s="3">
        <f>'IDEAL SOLUTION'!C17</f>
        <v/>
      </c>
      <c r="C17" s="3">
        <f>'IDEAL SOLUTION'!D17</f>
        <v/>
      </c>
      <c r="D17" s="3">
        <f>'IDEAL SOLUTION'!E17</f>
        <v/>
      </c>
      <c r="E17" s="3">
        <f>'IDEAL SOLUTION'!F17</f>
        <v/>
      </c>
      <c r="F17" s="3">
        <f>'IDEAL SOLUTION'!G17</f>
        <v/>
      </c>
      <c r="G17" s="3">
        <f>(B17-E17)^2</f>
        <v/>
      </c>
      <c r="H17" s="3">
        <f>(C17-E17)^2</f>
        <v/>
      </c>
      <c r="I17" s="3">
        <f>(D17-E17)^2</f>
        <v/>
      </c>
      <c r="J17" s="3">
        <f>(B17-F17)^2</f>
        <v/>
      </c>
      <c r="K17" s="3">
        <f>(C17-F17)^2</f>
        <v/>
      </c>
      <c r="L17" s="3">
        <f>(D17-F17)^2</f>
        <v/>
      </c>
    </row>
    <row r="18">
      <c r="A18" s="3">
        <f>'IDEAL SOLUTION'!A18</f>
        <v/>
      </c>
      <c r="B18" s="3">
        <f>'IDEAL SOLUTION'!C18</f>
        <v/>
      </c>
      <c r="C18" s="3">
        <f>'IDEAL SOLUTION'!D18</f>
        <v/>
      </c>
      <c r="D18" s="3">
        <f>'IDEAL SOLUTION'!E18</f>
        <v/>
      </c>
      <c r="E18" s="3">
        <f>'IDEAL SOLUTION'!F18</f>
        <v/>
      </c>
      <c r="F18" s="3">
        <f>'IDEAL SOLUTION'!G18</f>
        <v/>
      </c>
      <c r="G18" s="3">
        <f>(B18-E18)^2</f>
        <v/>
      </c>
      <c r="H18" s="3">
        <f>(C18-E18)^2</f>
        <v/>
      </c>
      <c r="I18" s="3">
        <f>(D18-E18)^2</f>
        <v/>
      </c>
      <c r="J18" s="3">
        <f>(B18-F18)^2</f>
        <v/>
      </c>
      <c r="K18" s="3">
        <f>(C18-F18)^2</f>
        <v/>
      </c>
      <c r="L18" s="3">
        <f>(D18-F18)^2</f>
        <v/>
      </c>
    </row>
    <row r="19">
      <c r="A19" s="3">
        <f>'IDEAL SOLUTION'!A19</f>
        <v/>
      </c>
      <c r="B19" s="3">
        <f>'IDEAL SOLUTION'!C19</f>
        <v/>
      </c>
      <c r="C19" s="3">
        <f>'IDEAL SOLUTION'!D19</f>
        <v/>
      </c>
      <c r="D19" s="3">
        <f>'IDEAL SOLUTION'!E19</f>
        <v/>
      </c>
      <c r="E19" s="3">
        <f>'IDEAL SOLUTION'!F19</f>
        <v/>
      </c>
      <c r="F19" s="3">
        <f>'IDEAL SOLUTION'!G19</f>
        <v/>
      </c>
      <c r="G19" s="3">
        <f>(B19-E19)^2</f>
        <v/>
      </c>
      <c r="H19" s="3">
        <f>(C19-E19)^2</f>
        <v/>
      </c>
      <c r="I19" s="3">
        <f>(D19-E19)^2</f>
        <v/>
      </c>
      <c r="J19" s="3">
        <f>(B19-F19)^2</f>
        <v/>
      </c>
      <c r="K19" s="3">
        <f>(C19-F19)^2</f>
        <v/>
      </c>
      <c r="L19" s="3">
        <f>(D19-F19)^2</f>
        <v/>
      </c>
    </row>
    <row r="20">
      <c r="A20" s="3">
        <f>'IDEAL SOLUTION'!A20</f>
        <v/>
      </c>
      <c r="B20" s="3">
        <f>'IDEAL SOLUTION'!C20</f>
        <v/>
      </c>
      <c r="C20" s="3">
        <f>'IDEAL SOLUTION'!D20</f>
        <v/>
      </c>
      <c r="D20" s="3">
        <f>'IDEAL SOLUTION'!E20</f>
        <v/>
      </c>
      <c r="E20" s="3">
        <f>'IDEAL SOLUTION'!F20</f>
        <v/>
      </c>
      <c r="F20" s="3">
        <f>'IDEAL SOLUTION'!G20</f>
        <v/>
      </c>
      <c r="G20" s="3">
        <f>(B20-E20)^2</f>
        <v/>
      </c>
      <c r="H20" s="3">
        <f>(C20-E20)^2</f>
        <v/>
      </c>
      <c r="I20" s="3">
        <f>(D20-E20)^2</f>
        <v/>
      </c>
      <c r="J20" s="3">
        <f>(B20-F20)^2</f>
        <v/>
      </c>
      <c r="K20" s="3">
        <f>(C20-F20)^2</f>
        <v/>
      </c>
      <c r="L20" s="3">
        <f>(D20-F20)^2</f>
        <v/>
      </c>
    </row>
    <row r="21">
      <c r="A21" s="3">
        <f>'IDEAL SOLUTION'!A21</f>
        <v/>
      </c>
      <c r="B21" s="3">
        <f>'IDEAL SOLUTION'!C21</f>
        <v/>
      </c>
      <c r="C21" s="3">
        <f>'IDEAL SOLUTION'!D21</f>
        <v/>
      </c>
      <c r="D21" s="3">
        <f>'IDEAL SOLUTION'!E21</f>
        <v/>
      </c>
      <c r="E21" s="3">
        <f>'IDEAL SOLUTION'!F21</f>
        <v/>
      </c>
      <c r="F21" s="3">
        <f>'IDEAL SOLUTION'!G21</f>
        <v/>
      </c>
      <c r="G21" s="3">
        <f>(B21-E21)^2</f>
        <v/>
      </c>
      <c r="H21" s="3">
        <f>(C21-E21)^2</f>
        <v/>
      </c>
      <c r="I21" s="3">
        <f>(D21-E21)^2</f>
        <v/>
      </c>
      <c r="J21" s="3">
        <f>(B21-F21)^2</f>
        <v/>
      </c>
      <c r="K21" s="3">
        <f>(C21-F21)^2</f>
        <v/>
      </c>
      <c r="L21" s="3">
        <f>(D21-F21)^2</f>
        <v/>
      </c>
    </row>
    <row r="22">
      <c r="A22" s="3">
        <f>'IDEAL SOLUTION'!A22</f>
        <v/>
      </c>
      <c r="B22" s="3">
        <f>'IDEAL SOLUTION'!C22</f>
        <v/>
      </c>
      <c r="C22" s="3">
        <f>'IDEAL SOLUTION'!D22</f>
        <v/>
      </c>
      <c r="D22" s="3">
        <f>'IDEAL SOLUTION'!E22</f>
        <v/>
      </c>
      <c r="E22" s="3">
        <f>'IDEAL SOLUTION'!F22</f>
        <v/>
      </c>
      <c r="F22" s="3">
        <f>'IDEAL SOLUTION'!G22</f>
        <v/>
      </c>
      <c r="G22" s="3">
        <f>(B22-E22)^2</f>
        <v/>
      </c>
      <c r="H22" s="3">
        <f>(C22-E22)^2</f>
        <v/>
      </c>
      <c r="I22" s="3">
        <f>(D22-E22)^2</f>
        <v/>
      </c>
      <c r="J22" s="3">
        <f>(B22-F22)^2</f>
        <v/>
      </c>
      <c r="K22" s="3">
        <f>(C22-F22)^2</f>
        <v/>
      </c>
      <c r="L22" s="3">
        <f>(D22-F22)^2</f>
        <v/>
      </c>
    </row>
    <row r="23">
      <c r="A23" s="3">
        <f>'IDEAL SOLUTION'!A23</f>
        <v/>
      </c>
      <c r="B23" s="3">
        <f>'IDEAL SOLUTION'!C23</f>
        <v/>
      </c>
      <c r="C23" s="3">
        <f>'IDEAL SOLUTION'!D23</f>
        <v/>
      </c>
      <c r="D23" s="3">
        <f>'IDEAL SOLUTION'!E23</f>
        <v/>
      </c>
      <c r="E23" s="3">
        <f>'IDEAL SOLUTION'!F23</f>
        <v/>
      </c>
      <c r="F23" s="3">
        <f>'IDEAL SOLUTION'!G23</f>
        <v/>
      </c>
      <c r="G23" s="3">
        <f>(B23-E23)^2</f>
        <v/>
      </c>
      <c r="H23" s="3">
        <f>(C23-E23)^2</f>
        <v/>
      </c>
      <c r="I23" s="3">
        <f>(D23-E23)^2</f>
        <v/>
      </c>
      <c r="J23" s="3">
        <f>(B23-F23)^2</f>
        <v/>
      </c>
      <c r="K23" s="3">
        <f>(C23-F23)^2</f>
        <v/>
      </c>
      <c r="L23" s="3">
        <f>(D23-F23)^2</f>
        <v/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2" t="inlineStr">
        <is>
          <t>ALTERNATIVE</t>
        </is>
      </c>
      <c r="B26" s="2" t="inlineStr">
        <is>
          <t>S+</t>
        </is>
      </c>
      <c r="C26" s="2" t="inlineStr">
        <is>
          <t>S-</t>
        </is>
      </c>
      <c r="D26" s="2" t="inlineStr">
        <is>
          <t>RELATIVE CLOSENESS (Ci*)</t>
        </is>
      </c>
      <c r="E26" s="2" t="inlineStr">
        <is>
          <t>RANK</t>
        </is>
      </c>
      <c r="F26" s="2" t="n"/>
      <c r="G26" s="2" t="n"/>
      <c r="H26" s="2" t="n"/>
      <c r="I26" s="2" t="n"/>
      <c r="J26" s="2" t="n"/>
      <c r="K26" s="2" t="n"/>
      <c r="L26" s="2" t="n"/>
    </row>
    <row r="27">
      <c r="A27" s="3">
        <f>'CHATBOT_INPUT'!C1</f>
        <v/>
      </c>
      <c r="B27" s="3">
        <f>SQRT(SUM(G2:G23))</f>
        <v/>
      </c>
      <c r="C27" s="3">
        <f>SQRT(SUM(J2:J23))</f>
        <v/>
      </c>
      <c r="D27" s="3">
        <f>C27/(B27+C27)</f>
        <v/>
      </c>
      <c r="E27" s="3">
        <f>RANK(D27,$D$27:$D$29,0)</f>
        <v/>
      </c>
      <c r="F27" s="3" t="n"/>
      <c r="G27" s="3" t="n"/>
      <c r="H27" s="3" t="n"/>
      <c r="I27" s="3" t="n"/>
      <c r="J27" s="3" t="n"/>
      <c r="K27" s="3" t="n"/>
      <c r="L27" s="3" t="n"/>
    </row>
    <row r="28">
      <c r="A28" s="3">
        <f>'CHATBOT_INPUT'!D1</f>
        <v/>
      </c>
      <c r="B28" s="3">
        <f>SQRT(SUM(H2:H23))</f>
        <v/>
      </c>
      <c r="C28" s="3">
        <f>SQRT(SUM(K2:K23))</f>
        <v/>
      </c>
      <c r="D28" s="3">
        <f>C28/(B28+C28)</f>
        <v/>
      </c>
      <c r="E28" s="3">
        <f>RANK(D28,$D$27:$D$29,0)</f>
        <v/>
      </c>
      <c r="F28" s="3" t="n"/>
      <c r="G28" s="3" t="n"/>
      <c r="H28" s="3" t="n"/>
      <c r="I28" s="3" t="n"/>
      <c r="J28" s="3" t="n"/>
      <c r="K28" s="3" t="n"/>
      <c r="L28" s="3" t="n"/>
    </row>
    <row r="29">
      <c r="A29" s="3">
        <f>'CHATBOT_INPUT'!E1</f>
        <v/>
      </c>
      <c r="B29" s="3">
        <f>SQRT(SUM(I2:I23))</f>
        <v/>
      </c>
      <c r="C29" s="3">
        <f>SQRT(SUM(L2:L23))</f>
        <v/>
      </c>
      <c r="D29" s="3">
        <f>C29/(B29+C29)</f>
        <v/>
      </c>
      <c r="E29" s="3">
        <f>RANK(D29,$D$27:$D$29,0)</f>
        <v/>
      </c>
      <c r="F29" s="3" t="n"/>
      <c r="G29" s="3" t="n"/>
      <c r="H29" s="3" t="n"/>
      <c r="I29" s="3" t="n"/>
      <c r="J29" s="3" t="n"/>
      <c r="K29" s="3" t="n"/>
      <c r="L29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6" customWidth="1" min="4" max="4"/>
    <col width="12" customWidth="1" min="5" max="5"/>
  </cols>
  <sheetData>
    <row r="1">
      <c r="A1" s="2" t="inlineStr">
        <is>
          <t>ALTERNATIVE</t>
        </is>
      </c>
      <c r="B1" s="2" t="inlineStr">
        <is>
          <t>S+</t>
        </is>
      </c>
      <c r="C1" s="2" t="inlineStr">
        <is>
          <t>S-</t>
        </is>
      </c>
      <c r="D1" s="2" t="inlineStr">
        <is>
          <t>RELATIVE CLOSENESS (Ci*)</t>
        </is>
      </c>
      <c r="E1" s="2" t="inlineStr">
        <is>
          <t>RANK</t>
        </is>
      </c>
    </row>
    <row r="2">
      <c r="A2" s="3">
        <f>'SEPERATIONMEASURES '!A27</f>
        <v/>
      </c>
      <c r="B2" s="3">
        <f>'SEPERATIONMEASURES '!B27</f>
        <v/>
      </c>
      <c r="C2" s="3">
        <f>'SEPERATIONMEASURES '!C27</f>
        <v/>
      </c>
      <c r="D2" s="3">
        <f>'SEPERATIONMEASURES '!D27</f>
        <v/>
      </c>
      <c r="E2" s="3">
        <f>'SEPERATIONMEASURES '!E27</f>
        <v/>
      </c>
    </row>
    <row r="3">
      <c r="A3" s="3">
        <f>'SEPERATIONMEASURES '!A28</f>
        <v/>
      </c>
      <c r="B3" s="3">
        <f>'SEPERATIONMEASURES '!B28</f>
        <v/>
      </c>
      <c r="C3" s="3">
        <f>'SEPERATIONMEASURES '!C28</f>
        <v/>
      </c>
      <c r="D3" s="3">
        <f>'SEPERATIONMEASURES '!D28</f>
        <v/>
      </c>
      <c r="E3" s="3">
        <f>'SEPERATIONMEASURES '!E28</f>
        <v/>
      </c>
    </row>
    <row r="4">
      <c r="A4" s="3">
        <f>'SEPERATIONMEASURES '!A29</f>
        <v/>
      </c>
      <c r="B4" s="3">
        <f>'SEPERATIONMEASURES '!B29</f>
        <v/>
      </c>
      <c r="C4" s="3">
        <f>'SEPERATIONMEASURES '!C29</f>
        <v/>
      </c>
      <c r="D4" s="3">
        <f>'SEPERATIONMEASURES '!D29</f>
        <v/>
      </c>
      <c r="E4" s="3">
        <f>'SEPERATIONMEASURES '!E29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65" customWidth="1" min="4" max="4"/>
  </cols>
  <sheetData>
    <row r="1">
      <c r="A1" s="2" t="inlineStr">
        <is>
          <t>Result</t>
        </is>
      </c>
      <c r="B1" s="2" t="inlineStr">
        <is>
          <t>Value</t>
        </is>
      </c>
      <c r="C1" s="2" t="inlineStr"/>
      <c r="D1" s="2" t="inlineStr">
        <is>
          <t>Node.js reads CHATBOT_OUTPUT after Excel recalculates.</t>
        </is>
      </c>
    </row>
    <row r="2">
      <c r="A2" s="3" t="inlineStr">
        <is>
          <t>Alternative A Ci*</t>
        </is>
      </c>
      <c r="B2" s="3">
        <f>'RELATIVE CLOSENESS'!D2</f>
        <v/>
      </c>
      <c r="C2" s="3" t="n"/>
      <c r="D2" s="3" t="n"/>
    </row>
    <row r="3">
      <c r="A3" s="3" t="inlineStr">
        <is>
          <t>Alternative B Ci*</t>
        </is>
      </c>
      <c r="B3" s="3">
        <f>'RELATIVE CLOSENESS'!D3</f>
        <v/>
      </c>
      <c r="C3" s="3" t="n"/>
      <c r="D3" s="3" t="n"/>
    </row>
    <row r="4">
      <c r="A4" s="3" t="inlineStr">
        <is>
          <t>Alternative C Ci*</t>
        </is>
      </c>
      <c r="B4" s="3">
        <f>'RELATIVE CLOSENESS'!D4</f>
        <v/>
      </c>
      <c r="C4" s="3" t="n"/>
      <c r="D4" s="3" t="n"/>
    </row>
    <row r="5">
      <c r="A5" s="3" t="inlineStr">
        <is>
          <t>Best Alternative</t>
        </is>
      </c>
      <c r="B5" s="3">
        <f>INDEX('RELATIVE CLOSENESS'!A2:A4,MATCH(MAX('RELATIVE CLOSENESS'!D2:D4),'RELATIVE CLOSENESS'!D2:D4,0))</f>
        <v/>
      </c>
      <c r="C5" s="3" t="n"/>
      <c r="D5" s="3" t="n"/>
    </row>
    <row r="6">
      <c r="A6" s="3" t="inlineStr">
        <is>
          <t>Rank 1</t>
        </is>
      </c>
      <c r="B6" s="3">
        <f>INDEX('RELATIVE CLOSENESS'!A2:A4,MATCH(1,'RELATIVE CLOSENESS'!E2:E4,0))</f>
        <v/>
      </c>
      <c r="C6" s="3" t="n"/>
      <c r="D6" s="3" t="n"/>
    </row>
    <row r="7">
      <c r="A7" s="3" t="inlineStr">
        <is>
          <t>Rank 2</t>
        </is>
      </c>
      <c r="B7" s="3">
        <f>INDEX('RELATIVE CLOSENESS'!A2:A4,MATCH(2,'RELATIVE CLOSENESS'!E2:E4,0))</f>
        <v/>
      </c>
      <c r="C7" s="3" t="n"/>
      <c r="D7" s="3" t="n"/>
    </row>
    <row r="8">
      <c r="A8" s="3" t="inlineStr">
        <is>
          <t>Rank 3</t>
        </is>
      </c>
      <c r="B8" s="3">
        <f>INDEX('RELATIVE CLOSENESS'!A2:A4,MATCH(3,'RELATIVE CLOSENESS'!E2:E4,0))</f>
        <v/>
      </c>
      <c r="C8" s="3" t="n"/>
      <c r="D8" s="3" t="n"/>
    </row>
    <row r="9">
      <c r="A9" s="3" t="inlineStr">
        <is>
          <t>Alternative A Rank</t>
        </is>
      </c>
      <c r="B9" s="3">
        <f>'RELATIVE CLOSENESS'!E2</f>
        <v/>
      </c>
      <c r="C9" s="3" t="n"/>
      <c r="D9" s="3" t="n"/>
    </row>
    <row r="10">
      <c r="A10" s="3" t="inlineStr">
        <is>
          <t>Alternative B Rank</t>
        </is>
      </c>
      <c r="B10" s="3">
        <f>'RELATIVE CLOSENESS'!E3</f>
        <v/>
      </c>
      <c r="C10" s="3" t="n"/>
      <c r="D10" s="3" t="n"/>
    </row>
    <row r="11">
      <c r="A11" s="3" t="inlineStr">
        <is>
          <t>Alternative C Rank</t>
        </is>
      </c>
      <c r="B11" s="3">
        <f>'RELATIVE CLOSENESS'!E4</f>
        <v/>
      </c>
      <c r="C11" s="3" t="n"/>
      <c r="D11" s="3" t="n"/>
    </row>
    <row r="12">
      <c r="A12" s="3" t="inlineStr">
        <is>
          <t>Alternative A S+</t>
        </is>
      </c>
      <c r="B12" s="3">
        <f>'RELATIVE CLOSENESS'!B2</f>
        <v/>
      </c>
      <c r="C12" s="3" t="n"/>
      <c r="D12" s="3" t="n"/>
    </row>
    <row r="13">
      <c r="A13" s="3" t="inlineStr">
        <is>
          <t>Alternative A S-</t>
        </is>
      </c>
      <c r="B13" s="3">
        <f>'RELATIVE CLOSENESS'!C2</f>
        <v/>
      </c>
      <c r="C13" s="3" t="n"/>
      <c r="D13" s="3" t="n"/>
    </row>
    <row r="14">
      <c r="A14" s="3" t="inlineStr">
        <is>
          <t>Alternative B S+</t>
        </is>
      </c>
      <c r="B14" s="3">
        <f>'RELATIVE CLOSENESS'!B3</f>
        <v/>
      </c>
      <c r="C14" s="3" t="n"/>
      <c r="D14" s="3" t="n"/>
    </row>
    <row r="15">
      <c r="A15" s="3" t="inlineStr">
        <is>
          <t>Alternative B S-</t>
        </is>
      </c>
      <c r="B15" s="3">
        <f>'RELATIVE CLOSENESS'!C3</f>
        <v/>
      </c>
      <c r="C15" s="3" t="n"/>
      <c r="D15" s="3" t="n"/>
    </row>
    <row r="16">
      <c r="A16" s="3" t="inlineStr">
        <is>
          <t>Alternative C S+</t>
        </is>
      </c>
      <c r="B16" s="3">
        <f>'RELATIVE CLOSENESS'!B4</f>
        <v/>
      </c>
      <c r="C16" s="3" t="n"/>
      <c r="D16" s="3" t="n"/>
    </row>
    <row r="17">
      <c r="A17" s="3" t="inlineStr">
        <is>
          <t>Alternative C S-</t>
        </is>
      </c>
      <c r="B17" s="3">
        <f>'RELATIVE CLOSENESS'!C4</f>
        <v/>
      </c>
      <c r="C17" s="3" t="n"/>
      <c r="D17" s="3" t="n"/>
    </row>
    <row r="18">
      <c r="A18" s="3" t="inlineStr">
        <is>
          <t>Consistency Ratio</t>
        </is>
      </c>
      <c r="B18" s="3">
        <f>'CONSISTENCY CHECK'!B32</f>
        <v/>
      </c>
      <c r="C18" s="3" t="n"/>
      <c r="D18" s="3" t="n"/>
    </row>
    <row r="19">
      <c r="A19" s="3" t="inlineStr">
        <is>
          <t>Consistency Status</t>
        </is>
      </c>
      <c r="B19" s="3">
        <f>'CONSISTENCY CHECK'!B33</f>
        <v/>
      </c>
      <c r="C19" s="3" t="n"/>
      <c r="D19" s="3" t="n"/>
    </row>
    <row r="20">
      <c r="A20" s="3" t="inlineStr">
        <is>
          <t>Technical AHP Weight</t>
        </is>
      </c>
      <c r="B20" s="3">
        <f>'CONSISTENCY CHECK'!B19</f>
        <v/>
      </c>
      <c r="C20" s="3" t="n"/>
      <c r="D20" s="3" t="n"/>
    </row>
    <row r="21">
      <c r="A21" s="3" t="inlineStr">
        <is>
          <t>Operational AHP Weight</t>
        </is>
      </c>
      <c r="B21" s="3">
        <f>'CONSISTENCY CHECK'!B20</f>
        <v/>
      </c>
      <c r="C21" s="3" t="n"/>
      <c r="D21" s="3" t="n"/>
    </row>
    <row r="22">
      <c r="A22" s="3" t="inlineStr">
        <is>
          <t>Environmental AHP Weight</t>
        </is>
      </c>
      <c r="B22" s="3">
        <f>'CONSISTENCY CHECK'!B21</f>
        <v/>
      </c>
      <c r="C22" s="3" t="n"/>
      <c r="D22" s="3" t="n"/>
    </row>
    <row r="23">
      <c r="A23" s="3" t="inlineStr">
        <is>
          <t>Financial AHP Weight</t>
        </is>
      </c>
      <c r="B23" s="3">
        <f>'CONSISTENCY CHECK'!B22</f>
        <v/>
      </c>
      <c r="C23" s="3" t="n"/>
      <c r="D23" s="3" t="n"/>
    </row>
    <row r="24">
      <c r="A24" s="3" t="inlineStr">
        <is>
          <t>Regulatory AHP Weight</t>
        </is>
      </c>
      <c r="B24" s="3">
        <f>'CONSISTENCY CHECK'!B23</f>
        <v/>
      </c>
      <c r="C24" s="3" t="n"/>
      <c r="D24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ENGINEERAI DSS MODEL NOTE</t>
        </is>
      </c>
      <c r="B1" s="2" t="inlineStr"/>
    </row>
    <row r="2">
      <c r="A2" s="3" t="inlineStr">
        <is>
          <t>Excel calculation engine</t>
        </is>
      </c>
      <c r="B2" s="3" t="inlineStr">
        <is>
          <t>Excel remains the AHP-TOPSIS calculation engine. Node.js writes CHATBOT_INPUT and reads CHATBOT_OUTPUT.</t>
        </is>
      </c>
    </row>
    <row r="3">
      <c r="A3" s="3" t="inlineStr">
        <is>
          <t>Updated criterion structure</t>
        </is>
      </c>
      <c r="B3" s="3" t="inlineStr">
        <is>
          <t>22 TOPSIS subcriteria: 5 Technical, 3 Operational, 4 Environmental &amp; Safety, 4 Financial, 6 Regulatory.</t>
        </is>
      </c>
    </row>
    <row r="4">
      <c r="A4" s="3" t="inlineStr">
        <is>
          <t>Financial input change</t>
        </is>
      </c>
      <c r="B4" s="3" t="inlineStr">
        <is>
          <t>Equipment Cost, Setup Cost, Operating Cost and Maintenance Cost use actual financial figures from the supplied financial models, not 1-10 scores.</t>
        </is>
      </c>
    </row>
    <row r="5">
      <c r="A5" s="3" t="inlineStr">
        <is>
          <t>TOPSIS cost handling</t>
        </is>
      </c>
      <c r="B5" s="3" t="inlineStr">
        <is>
          <t>All four financial cost criteria are COST criteria. Lower cost is treated as closer to the positive ideal.</t>
        </is>
      </c>
    </row>
    <row r="6">
      <c r="A6" s="3" t="inlineStr">
        <is>
          <t>Regulatory handling</t>
        </is>
      </c>
      <c r="B6" s="3" t="inlineStr">
        <is>
          <t>Regulatory criteria are NUPRC Compliance, NMDPRA Compliance, NCDMB Compliance, NOSDRA Compliance, Laboratory Certification and Environmental Permits; all are BENEFIT criteria: stronger compliance/readiness is better.</t>
        </is>
      </c>
    </row>
    <row r="7">
      <c r="A7" s="3" t="inlineStr">
        <is>
          <t>Source alternatives</t>
        </is>
      </c>
      <c r="B7" s="3" t="inlineStr">
        <is>
          <t>Process Optimization-Focused Firm, Environmental Compliance-Focused Firm, Laboratory Testing-Focused Firm.</t>
        </is>
      </c>
    </row>
    <row r="8">
      <c r="A8" s="3" t="inlineStr">
        <is>
          <t>AHP weights</t>
        </is>
      </c>
      <c r="B8" s="3" t="inlineStr">
        <is>
          <t>Technical, Operational, Environmental, Financial and Regulatory weights are derived from the supplied updated AHP pairwise matrix.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2026-09-28T22:02:02Z</dcterms:created>
  <dcterms:modified xmlns:dcterms="http://purl.org/dc/terms/" xmlns:xsi="http://www.w3.org/2001/XMLSchema-instance" xsi:type="dcterms:W3CDTF">2026-09-29T01:20:42Z</dcterms:modified>
</cp:coreProperties>
</file>